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ras\Downloads\"/>
    </mc:Choice>
  </mc:AlternateContent>
  <xr:revisionPtr revIDLastSave="0" documentId="13_ncr:1_{CC290DB9-27C9-4C15-B45C-83D5DF9D25D5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ASHBOARD" sheetId="1" r:id="rId1"/>
    <sheet name="PANDUAN" sheetId="2" r:id="rId2"/>
    <sheet name="MASTER_ANGGOTA" sheetId="3" r:id="rId3"/>
    <sheet name="KATEGORI_PENGELUARAN" sheetId="4" r:id="rId4"/>
    <sheet name="PEMBAYARAN" sheetId="5" r:id="rId5"/>
    <sheet name="KAS_SEPTEMBER" sheetId="6" r:id="rId6"/>
    <sheet name="KAS_OKTOBER" sheetId="7" r:id="rId7"/>
    <sheet name="KAS_NOVEMBER" sheetId="8" r:id="rId8"/>
    <sheet name="KAS_DESEMBER" sheetId="9" r:id="rId9"/>
    <sheet name="KAS_JANUARI" sheetId="10" r:id="rId10"/>
    <sheet name="KAS_FEBRUARI" sheetId="11" r:id="rId11"/>
    <sheet name="KAS_MARET" sheetId="12" r:id="rId12"/>
    <sheet name="KAS_APRIL" sheetId="13" r:id="rId13"/>
    <sheet name="KAS_MEI" sheetId="14" r:id="rId14"/>
    <sheet name="KAS_JUNI" sheetId="15" r:id="rId15"/>
    <sheet name="PENGELUARAN" sheetId="16" r:id="rId16"/>
    <sheet name="SALDO" sheetId="17" r:id="rId17"/>
    <sheet name="REKAP_BULANAN" sheetId="18" r:id="rId18"/>
    <sheet name="DAFTAR_TUNGGAKAN" sheetId="19" r:id="rId19"/>
    <sheet name="ANALISIS" sheetId="20" r:id="rId20"/>
  </sheets>
  <definedNames>
    <definedName name="_xlnm._FilterDatabase" localSheetId="18" hidden="1">DAFTAR_TUNGGAKAN!$A$4:$F$45</definedName>
    <definedName name="_xlnm._FilterDatabase" localSheetId="12" hidden="1">KAS_APRIL!$A$4:$Q$45</definedName>
    <definedName name="_xlnm._FilterDatabase" localSheetId="8" hidden="1">KAS_DESEMBER!$A$4:$Q$45</definedName>
    <definedName name="_xlnm._FilterDatabase" localSheetId="10" hidden="1">KAS_FEBRUARI!$A$4:$Q$45</definedName>
    <definedName name="_xlnm._FilterDatabase" localSheetId="9" hidden="1">KAS_JANUARI!$A$4:$Q$45</definedName>
    <definedName name="_xlnm._FilterDatabase" localSheetId="14" hidden="1">KAS_JUNI!$A$4:$Q$45</definedName>
    <definedName name="_xlnm._FilterDatabase" localSheetId="11" hidden="1">KAS_MARET!$A$4:$Q$45</definedName>
    <definedName name="_xlnm._FilterDatabase" localSheetId="13" hidden="1">KAS_MEI!$A$4:$Q$45</definedName>
    <definedName name="_xlnm._FilterDatabase" localSheetId="7" hidden="1">KAS_NOVEMBER!$A$4:$Q$45</definedName>
    <definedName name="_xlnm._FilterDatabase" localSheetId="6" hidden="1">KAS_OKTOBER!$A$4:$Q$45</definedName>
    <definedName name="_xlnm._FilterDatabase" localSheetId="5" hidden="1">KAS_SEPTEMBER!$A$4:$Q$45</definedName>
    <definedName name="_xlnm._FilterDatabase" localSheetId="2" hidden="1">MASTER_ANGGOTA!$A$4:$D$45</definedName>
    <definedName name="_xlnm._FilterDatabase" localSheetId="4" hidden="1">PEMBAYARAN!$A$3:$G$500</definedName>
    <definedName name="_xlnm._FilterDatabase" localSheetId="15" hidden="1">PENGELUARAN!$A$3:$N$300</definedName>
    <definedName name="_xlnm._FilterDatabase" localSheetId="17" hidden="1">REKAP_BULANAN!$A$3:$L$13</definedName>
    <definedName name="DAFTAR_KATEGORI">KATEGORI_PENGELUARAN!$D$4:$D$10</definedName>
    <definedName name="DAFTAR_NAMA">MASTER_ANGGOTA!$B$5:$B$45</definedName>
    <definedName name="PENG_BULAN">PENGELUARAN!$N$4:$N$300</definedName>
    <definedName name="PENG_JUMLAH">PENGELUARAN!$G$4:$G$300</definedName>
    <definedName name="PENG_KATEGORI">PENGELUARAN!$C$4:$C$300</definedName>
    <definedName name="SALDO_AKHIR_TAHUN">SALDO!$G$14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5" i="20" l="1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C24" i="20"/>
  <c r="H23" i="20"/>
  <c r="C23" i="20"/>
  <c r="H22" i="20"/>
  <c r="C22" i="20"/>
  <c r="H21" i="20"/>
  <c r="C21" i="20"/>
  <c r="H20" i="20"/>
  <c r="H19" i="20"/>
  <c r="C19" i="20"/>
  <c r="H18" i="20"/>
  <c r="H17" i="20"/>
  <c r="H16" i="20"/>
  <c r="H15" i="20"/>
  <c r="H14" i="20"/>
  <c r="H13" i="20"/>
  <c r="H12" i="20"/>
  <c r="N11" i="20"/>
  <c r="O11" i="20" s="1"/>
  <c r="M11" i="20"/>
  <c r="H11" i="20"/>
  <c r="N10" i="20"/>
  <c r="O10" i="20" s="1"/>
  <c r="M10" i="20"/>
  <c r="H10" i="20"/>
  <c r="N9" i="20"/>
  <c r="M9" i="20"/>
  <c r="H9" i="20"/>
  <c r="N8" i="20"/>
  <c r="M8" i="20"/>
  <c r="H8" i="20"/>
  <c r="N7" i="20"/>
  <c r="O7" i="20" s="1"/>
  <c r="M7" i="20"/>
  <c r="H7" i="20"/>
  <c r="N6" i="20"/>
  <c r="M6" i="20"/>
  <c r="H6" i="20"/>
  <c r="N5" i="20"/>
  <c r="O8" i="20" s="1"/>
  <c r="M5" i="20"/>
  <c r="H5" i="20"/>
  <c r="B45" i="19"/>
  <c r="A45" i="19"/>
  <c r="B44" i="19"/>
  <c r="A44" i="19"/>
  <c r="B43" i="19"/>
  <c r="A43" i="19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13" i="18"/>
  <c r="B12" i="18"/>
  <c r="B11" i="18"/>
  <c r="B10" i="18"/>
  <c r="B9" i="18"/>
  <c r="B8" i="18"/>
  <c r="B7" i="18"/>
  <c r="B6" i="18"/>
  <c r="B5" i="18"/>
  <c r="B4" i="18"/>
  <c r="D16" i="17"/>
  <c r="B5" i="17"/>
  <c r="N300" i="16"/>
  <c r="A300" i="16"/>
  <c r="N299" i="16"/>
  <c r="A299" i="16"/>
  <c r="N298" i="16"/>
  <c r="A298" i="16"/>
  <c r="N297" i="16"/>
  <c r="A297" i="16"/>
  <c r="N296" i="16"/>
  <c r="A296" i="16"/>
  <c r="N295" i="16"/>
  <c r="A295" i="16"/>
  <c r="N294" i="16"/>
  <c r="A294" i="16"/>
  <c r="N293" i="16"/>
  <c r="A293" i="16"/>
  <c r="N292" i="16"/>
  <c r="A292" i="16"/>
  <c r="N291" i="16"/>
  <c r="A291" i="16"/>
  <c r="N290" i="16"/>
  <c r="A290" i="16"/>
  <c r="N289" i="16"/>
  <c r="A289" i="16"/>
  <c r="N288" i="16"/>
  <c r="A288" i="16"/>
  <c r="N287" i="16"/>
  <c r="A287" i="16"/>
  <c r="N286" i="16"/>
  <c r="A286" i="16"/>
  <c r="N285" i="16"/>
  <c r="A285" i="16"/>
  <c r="N284" i="16"/>
  <c r="A284" i="16"/>
  <c r="N283" i="16"/>
  <c r="A283" i="16"/>
  <c r="N282" i="16"/>
  <c r="A282" i="16"/>
  <c r="N281" i="16"/>
  <c r="A281" i="16"/>
  <c r="N280" i="16"/>
  <c r="A280" i="16"/>
  <c r="N279" i="16"/>
  <c r="A279" i="16"/>
  <c r="N278" i="16"/>
  <c r="A278" i="16"/>
  <c r="N277" i="16"/>
  <c r="A277" i="16"/>
  <c r="N276" i="16"/>
  <c r="A276" i="16"/>
  <c r="N275" i="16"/>
  <c r="A275" i="16"/>
  <c r="N274" i="16"/>
  <c r="A274" i="16"/>
  <c r="N273" i="16"/>
  <c r="A273" i="16"/>
  <c r="N272" i="16"/>
  <c r="A272" i="16"/>
  <c r="N271" i="16"/>
  <c r="A271" i="16"/>
  <c r="N270" i="16"/>
  <c r="A270" i="16"/>
  <c r="N269" i="16"/>
  <c r="A269" i="16"/>
  <c r="N268" i="16"/>
  <c r="A268" i="16"/>
  <c r="N267" i="16"/>
  <c r="A267" i="16"/>
  <c r="N266" i="16"/>
  <c r="A266" i="16"/>
  <c r="N265" i="16"/>
  <c r="A265" i="16"/>
  <c r="N264" i="16"/>
  <c r="A264" i="16"/>
  <c r="N263" i="16"/>
  <c r="A263" i="16"/>
  <c r="N262" i="16"/>
  <c r="A262" i="16"/>
  <c r="N261" i="16"/>
  <c r="A261" i="16"/>
  <c r="N260" i="16"/>
  <c r="A260" i="16"/>
  <c r="N259" i="16"/>
  <c r="A259" i="16"/>
  <c r="N258" i="16"/>
  <c r="A258" i="16"/>
  <c r="N257" i="16"/>
  <c r="A257" i="16"/>
  <c r="N256" i="16"/>
  <c r="A256" i="16"/>
  <c r="N255" i="16"/>
  <c r="A255" i="16"/>
  <c r="N254" i="16"/>
  <c r="A254" i="16"/>
  <c r="N253" i="16"/>
  <c r="A253" i="16"/>
  <c r="N252" i="16"/>
  <c r="A252" i="16"/>
  <c r="N251" i="16"/>
  <c r="A251" i="16"/>
  <c r="N250" i="16"/>
  <c r="A250" i="16"/>
  <c r="N249" i="16"/>
  <c r="A249" i="16"/>
  <c r="N248" i="16"/>
  <c r="A248" i="16"/>
  <c r="N247" i="16"/>
  <c r="A247" i="16"/>
  <c r="N246" i="16"/>
  <c r="A246" i="16"/>
  <c r="N245" i="16"/>
  <c r="A245" i="16"/>
  <c r="N244" i="16"/>
  <c r="A244" i="16"/>
  <c r="N243" i="16"/>
  <c r="A243" i="16"/>
  <c r="N242" i="16"/>
  <c r="A242" i="16"/>
  <c r="N241" i="16"/>
  <c r="A241" i="16"/>
  <c r="N240" i="16"/>
  <c r="A240" i="16"/>
  <c r="N239" i="16"/>
  <c r="A239" i="16"/>
  <c r="N238" i="16"/>
  <c r="A238" i="16"/>
  <c r="N237" i="16"/>
  <c r="A237" i="16"/>
  <c r="N236" i="16"/>
  <c r="A236" i="16"/>
  <c r="N235" i="16"/>
  <c r="A235" i="16"/>
  <c r="N234" i="16"/>
  <c r="A234" i="16"/>
  <c r="N233" i="16"/>
  <c r="A233" i="16"/>
  <c r="N232" i="16"/>
  <c r="A232" i="16"/>
  <c r="N231" i="16"/>
  <c r="A231" i="16"/>
  <c r="N230" i="16"/>
  <c r="A230" i="16"/>
  <c r="N229" i="16"/>
  <c r="A229" i="16"/>
  <c r="N228" i="16"/>
  <c r="A228" i="16"/>
  <c r="N227" i="16"/>
  <c r="A227" i="16"/>
  <c r="N226" i="16"/>
  <c r="A226" i="16"/>
  <c r="N225" i="16"/>
  <c r="A225" i="16"/>
  <c r="N224" i="16"/>
  <c r="A224" i="16"/>
  <c r="N223" i="16"/>
  <c r="A223" i="16"/>
  <c r="N222" i="16"/>
  <c r="A222" i="16"/>
  <c r="N221" i="16"/>
  <c r="A221" i="16"/>
  <c r="N220" i="16"/>
  <c r="A220" i="16"/>
  <c r="N219" i="16"/>
  <c r="A219" i="16"/>
  <c r="N218" i="16"/>
  <c r="A218" i="16"/>
  <c r="N217" i="16"/>
  <c r="A217" i="16"/>
  <c r="N216" i="16"/>
  <c r="A216" i="16"/>
  <c r="N215" i="16"/>
  <c r="A215" i="16"/>
  <c r="N214" i="16"/>
  <c r="A214" i="16"/>
  <c r="N213" i="16"/>
  <c r="A213" i="16"/>
  <c r="N212" i="16"/>
  <c r="A212" i="16"/>
  <c r="N211" i="16"/>
  <c r="A211" i="16"/>
  <c r="N210" i="16"/>
  <c r="A210" i="16"/>
  <c r="N209" i="16"/>
  <c r="A209" i="16"/>
  <c r="N208" i="16"/>
  <c r="A208" i="16"/>
  <c r="N207" i="16"/>
  <c r="A207" i="16"/>
  <c r="N206" i="16"/>
  <c r="A206" i="16"/>
  <c r="N205" i="16"/>
  <c r="A205" i="16"/>
  <c r="N204" i="16"/>
  <c r="A204" i="16"/>
  <c r="N203" i="16"/>
  <c r="A203" i="16"/>
  <c r="N202" i="16"/>
  <c r="A202" i="16"/>
  <c r="N201" i="16"/>
  <c r="A201" i="16"/>
  <c r="N200" i="16"/>
  <c r="A200" i="16"/>
  <c r="N199" i="16"/>
  <c r="A199" i="16"/>
  <c r="N198" i="16"/>
  <c r="A198" i="16"/>
  <c r="N197" i="16"/>
  <c r="A197" i="16"/>
  <c r="N196" i="16"/>
  <c r="A196" i="16"/>
  <c r="N195" i="16"/>
  <c r="A195" i="16"/>
  <c r="N194" i="16"/>
  <c r="A194" i="16"/>
  <c r="N193" i="16"/>
  <c r="A193" i="16"/>
  <c r="N192" i="16"/>
  <c r="A192" i="16"/>
  <c r="N191" i="16"/>
  <c r="A191" i="16"/>
  <c r="N190" i="16"/>
  <c r="A190" i="16"/>
  <c r="N189" i="16"/>
  <c r="A189" i="16"/>
  <c r="N188" i="16"/>
  <c r="A188" i="16"/>
  <c r="N187" i="16"/>
  <c r="A187" i="16"/>
  <c r="N186" i="16"/>
  <c r="A186" i="16"/>
  <c r="N185" i="16"/>
  <c r="A185" i="16"/>
  <c r="N184" i="16"/>
  <c r="A184" i="16"/>
  <c r="N183" i="16"/>
  <c r="A183" i="16"/>
  <c r="N182" i="16"/>
  <c r="A182" i="16"/>
  <c r="N181" i="16"/>
  <c r="A181" i="16"/>
  <c r="N180" i="16"/>
  <c r="A180" i="16"/>
  <c r="N179" i="16"/>
  <c r="A179" i="16"/>
  <c r="N178" i="16"/>
  <c r="A178" i="16"/>
  <c r="N177" i="16"/>
  <c r="A177" i="16"/>
  <c r="N176" i="16"/>
  <c r="A176" i="16"/>
  <c r="N175" i="16"/>
  <c r="A175" i="16"/>
  <c r="N174" i="16"/>
  <c r="A174" i="16"/>
  <c r="N173" i="16"/>
  <c r="A173" i="16"/>
  <c r="N172" i="16"/>
  <c r="A172" i="16"/>
  <c r="N171" i="16"/>
  <c r="A171" i="16"/>
  <c r="N170" i="16"/>
  <c r="A170" i="16"/>
  <c r="N169" i="16"/>
  <c r="A169" i="16"/>
  <c r="N168" i="16"/>
  <c r="A168" i="16"/>
  <c r="N167" i="16"/>
  <c r="A167" i="16"/>
  <c r="N166" i="16"/>
  <c r="A166" i="16"/>
  <c r="N165" i="16"/>
  <c r="A165" i="16"/>
  <c r="N164" i="16"/>
  <c r="A164" i="16"/>
  <c r="N163" i="16"/>
  <c r="A163" i="16"/>
  <c r="N162" i="16"/>
  <c r="A162" i="16"/>
  <c r="N161" i="16"/>
  <c r="A161" i="16"/>
  <c r="N160" i="16"/>
  <c r="A160" i="16"/>
  <c r="N159" i="16"/>
  <c r="A159" i="16"/>
  <c r="N158" i="16"/>
  <c r="A158" i="16"/>
  <c r="N157" i="16"/>
  <c r="A157" i="16"/>
  <c r="N156" i="16"/>
  <c r="A156" i="16"/>
  <c r="N155" i="16"/>
  <c r="A155" i="16"/>
  <c r="N154" i="16"/>
  <c r="A154" i="16"/>
  <c r="N153" i="16"/>
  <c r="A153" i="16"/>
  <c r="N152" i="16"/>
  <c r="A152" i="16"/>
  <c r="N151" i="16"/>
  <c r="A151" i="16"/>
  <c r="N150" i="16"/>
  <c r="A150" i="16"/>
  <c r="N149" i="16"/>
  <c r="A149" i="16"/>
  <c r="N148" i="16"/>
  <c r="A148" i="16"/>
  <c r="N147" i="16"/>
  <c r="A147" i="16"/>
  <c r="N146" i="16"/>
  <c r="A146" i="16"/>
  <c r="N145" i="16"/>
  <c r="A145" i="16"/>
  <c r="N144" i="16"/>
  <c r="A144" i="16"/>
  <c r="N143" i="16"/>
  <c r="A143" i="16"/>
  <c r="N142" i="16"/>
  <c r="A142" i="16"/>
  <c r="N141" i="16"/>
  <c r="A141" i="16"/>
  <c r="N140" i="16"/>
  <c r="A140" i="16"/>
  <c r="N139" i="16"/>
  <c r="A139" i="16"/>
  <c r="N138" i="16"/>
  <c r="A138" i="16"/>
  <c r="N137" i="16"/>
  <c r="A137" i="16"/>
  <c r="N136" i="16"/>
  <c r="A136" i="16"/>
  <c r="N135" i="16"/>
  <c r="A135" i="16"/>
  <c r="N134" i="16"/>
  <c r="A134" i="16"/>
  <c r="N133" i="16"/>
  <c r="A133" i="16"/>
  <c r="N132" i="16"/>
  <c r="A132" i="16"/>
  <c r="N131" i="16"/>
  <c r="A131" i="16"/>
  <c r="N130" i="16"/>
  <c r="A130" i="16"/>
  <c r="N129" i="16"/>
  <c r="A129" i="16"/>
  <c r="N128" i="16"/>
  <c r="A128" i="16"/>
  <c r="N127" i="16"/>
  <c r="A127" i="16"/>
  <c r="N126" i="16"/>
  <c r="A126" i="16"/>
  <c r="N125" i="16"/>
  <c r="A125" i="16"/>
  <c r="N124" i="16"/>
  <c r="A124" i="16"/>
  <c r="N123" i="16"/>
  <c r="A123" i="16"/>
  <c r="N122" i="16"/>
  <c r="A122" i="16"/>
  <c r="N121" i="16"/>
  <c r="A121" i="16"/>
  <c r="N120" i="16"/>
  <c r="A120" i="16"/>
  <c r="N119" i="16"/>
  <c r="A119" i="16"/>
  <c r="N118" i="16"/>
  <c r="A118" i="16"/>
  <c r="N117" i="16"/>
  <c r="A117" i="16"/>
  <c r="N116" i="16"/>
  <c r="A116" i="16"/>
  <c r="N115" i="16"/>
  <c r="A115" i="16"/>
  <c r="N114" i="16"/>
  <c r="A114" i="16"/>
  <c r="N113" i="16"/>
  <c r="A113" i="16"/>
  <c r="N112" i="16"/>
  <c r="A112" i="16"/>
  <c r="N111" i="16"/>
  <c r="A111" i="16"/>
  <c r="N110" i="16"/>
  <c r="A110" i="16"/>
  <c r="N109" i="16"/>
  <c r="A109" i="16"/>
  <c r="N108" i="16"/>
  <c r="A108" i="16"/>
  <c r="N107" i="16"/>
  <c r="A107" i="16"/>
  <c r="N106" i="16"/>
  <c r="A106" i="16"/>
  <c r="N105" i="16"/>
  <c r="A105" i="16"/>
  <c r="N104" i="16"/>
  <c r="A104" i="16"/>
  <c r="N103" i="16"/>
  <c r="A103" i="16"/>
  <c r="N102" i="16"/>
  <c r="A102" i="16"/>
  <c r="N101" i="16"/>
  <c r="A101" i="16"/>
  <c r="N100" i="16"/>
  <c r="A100" i="16"/>
  <c r="N99" i="16"/>
  <c r="A99" i="16"/>
  <c r="N98" i="16"/>
  <c r="A98" i="16"/>
  <c r="N97" i="16"/>
  <c r="A97" i="16"/>
  <c r="N96" i="16"/>
  <c r="A96" i="16"/>
  <c r="N95" i="16"/>
  <c r="A95" i="16"/>
  <c r="N94" i="16"/>
  <c r="A94" i="16"/>
  <c r="N93" i="16"/>
  <c r="A93" i="16"/>
  <c r="N92" i="16"/>
  <c r="A92" i="16"/>
  <c r="N91" i="16"/>
  <c r="A91" i="16"/>
  <c r="N90" i="16"/>
  <c r="A90" i="16"/>
  <c r="N89" i="16"/>
  <c r="A89" i="16"/>
  <c r="N88" i="16"/>
  <c r="A88" i="16"/>
  <c r="N87" i="16"/>
  <c r="A87" i="16"/>
  <c r="N86" i="16"/>
  <c r="A86" i="16"/>
  <c r="N85" i="16"/>
  <c r="A85" i="16"/>
  <c r="N84" i="16"/>
  <c r="A84" i="16"/>
  <c r="N83" i="16"/>
  <c r="A83" i="16"/>
  <c r="N82" i="16"/>
  <c r="A82" i="16"/>
  <c r="N81" i="16"/>
  <c r="A81" i="16"/>
  <c r="N80" i="16"/>
  <c r="A80" i="16"/>
  <c r="N79" i="16"/>
  <c r="A79" i="16"/>
  <c r="N78" i="16"/>
  <c r="A78" i="16"/>
  <c r="N77" i="16"/>
  <c r="A77" i="16"/>
  <c r="N76" i="16"/>
  <c r="A76" i="16"/>
  <c r="N75" i="16"/>
  <c r="A75" i="16"/>
  <c r="N74" i="16"/>
  <c r="A74" i="16"/>
  <c r="N73" i="16"/>
  <c r="A73" i="16"/>
  <c r="N72" i="16"/>
  <c r="A72" i="16"/>
  <c r="N71" i="16"/>
  <c r="A71" i="16"/>
  <c r="N70" i="16"/>
  <c r="A70" i="16"/>
  <c r="N69" i="16"/>
  <c r="A69" i="16"/>
  <c r="N68" i="16"/>
  <c r="A68" i="16"/>
  <c r="N67" i="16"/>
  <c r="A67" i="16"/>
  <c r="N66" i="16"/>
  <c r="A66" i="16"/>
  <c r="N65" i="16"/>
  <c r="A65" i="16"/>
  <c r="N64" i="16"/>
  <c r="A64" i="16"/>
  <c r="N63" i="16"/>
  <c r="A63" i="16"/>
  <c r="N62" i="16"/>
  <c r="A62" i="16"/>
  <c r="N61" i="16"/>
  <c r="A61" i="16"/>
  <c r="N60" i="16"/>
  <c r="A60" i="16"/>
  <c r="N59" i="16"/>
  <c r="A59" i="16"/>
  <c r="N58" i="16"/>
  <c r="A58" i="16"/>
  <c r="N57" i="16"/>
  <c r="A57" i="16"/>
  <c r="N56" i="16"/>
  <c r="A56" i="16"/>
  <c r="N55" i="16"/>
  <c r="A55" i="16"/>
  <c r="N54" i="16"/>
  <c r="A54" i="16"/>
  <c r="N53" i="16"/>
  <c r="A53" i="16"/>
  <c r="N52" i="16"/>
  <c r="A52" i="16"/>
  <c r="N51" i="16"/>
  <c r="A51" i="16"/>
  <c r="N50" i="16"/>
  <c r="A50" i="16"/>
  <c r="N49" i="16"/>
  <c r="A49" i="16"/>
  <c r="N48" i="16"/>
  <c r="A48" i="16"/>
  <c r="N47" i="16"/>
  <c r="A47" i="16"/>
  <c r="N46" i="16"/>
  <c r="A46" i="16"/>
  <c r="N45" i="16"/>
  <c r="A45" i="16"/>
  <c r="N44" i="16"/>
  <c r="A44" i="16"/>
  <c r="N43" i="16"/>
  <c r="A43" i="16"/>
  <c r="N42" i="16"/>
  <c r="A42" i="16"/>
  <c r="N41" i="16"/>
  <c r="A41" i="16"/>
  <c r="N40" i="16"/>
  <c r="A40" i="16"/>
  <c r="N39" i="16"/>
  <c r="A39" i="16"/>
  <c r="N38" i="16"/>
  <c r="A38" i="16"/>
  <c r="N37" i="16"/>
  <c r="A37" i="16"/>
  <c r="N36" i="16"/>
  <c r="A36" i="16"/>
  <c r="N35" i="16"/>
  <c r="A35" i="16"/>
  <c r="N34" i="16"/>
  <c r="A34" i="16"/>
  <c r="N33" i="16"/>
  <c r="A33" i="16"/>
  <c r="N32" i="16"/>
  <c r="A32" i="16"/>
  <c r="N31" i="16"/>
  <c r="A31" i="16"/>
  <c r="N30" i="16"/>
  <c r="A30" i="16"/>
  <c r="N29" i="16"/>
  <c r="A29" i="16"/>
  <c r="N28" i="16"/>
  <c r="A28" i="16"/>
  <c r="N27" i="16"/>
  <c r="A27" i="16"/>
  <c r="N26" i="16"/>
  <c r="A26" i="16"/>
  <c r="N25" i="16"/>
  <c r="A25" i="16"/>
  <c r="N24" i="16"/>
  <c r="A24" i="16"/>
  <c r="N23" i="16"/>
  <c r="A23" i="16"/>
  <c r="N22" i="16"/>
  <c r="A22" i="16"/>
  <c r="N21" i="16"/>
  <c r="A21" i="16"/>
  <c r="N20" i="16"/>
  <c r="A20" i="16"/>
  <c r="N19" i="16"/>
  <c r="A19" i="16"/>
  <c r="N18" i="16"/>
  <c r="A18" i="16"/>
  <c r="N17" i="16"/>
  <c r="A17" i="16"/>
  <c r="N16" i="16"/>
  <c r="A16" i="16"/>
  <c r="N15" i="16"/>
  <c r="A15" i="16"/>
  <c r="N14" i="16"/>
  <c r="A14" i="16"/>
  <c r="N13" i="16"/>
  <c r="A13" i="16"/>
  <c r="N12" i="16"/>
  <c r="A12" i="16"/>
  <c r="N11" i="16"/>
  <c r="A11" i="16"/>
  <c r="N10" i="16"/>
  <c r="A10" i="16"/>
  <c r="N9" i="16"/>
  <c r="A9" i="16"/>
  <c r="N8" i="16"/>
  <c r="N7" i="16"/>
  <c r="N6" i="16"/>
  <c r="N5" i="16"/>
  <c r="N4" i="16"/>
  <c r="H45" i="15"/>
  <c r="G45" i="15"/>
  <c r="Q45" i="15" s="1"/>
  <c r="F45" i="15"/>
  <c r="P45" i="15" s="1"/>
  <c r="B45" i="15"/>
  <c r="A45" i="15"/>
  <c r="H44" i="15"/>
  <c r="G44" i="15"/>
  <c r="Q44" i="15" s="1"/>
  <c r="C44" i="15"/>
  <c r="B44" i="15"/>
  <c r="E44" i="15" s="1"/>
  <c r="O44" i="15" s="1"/>
  <c r="A44" i="15"/>
  <c r="H43" i="15"/>
  <c r="G43" i="15"/>
  <c r="Q43" i="15" s="1"/>
  <c r="E43" i="15"/>
  <c r="O43" i="15" s="1"/>
  <c r="D43" i="15"/>
  <c r="N43" i="15" s="1"/>
  <c r="C43" i="15"/>
  <c r="M43" i="15" s="1"/>
  <c r="B43" i="15"/>
  <c r="F43" i="15" s="1"/>
  <c r="P43" i="15" s="1"/>
  <c r="A43" i="15"/>
  <c r="Q42" i="15"/>
  <c r="M42" i="15"/>
  <c r="H42" i="15"/>
  <c r="G42" i="15"/>
  <c r="E42" i="15"/>
  <c r="O42" i="15" s="1"/>
  <c r="B42" i="15"/>
  <c r="C42" i="15" s="1"/>
  <c r="A42" i="15"/>
  <c r="H41" i="15"/>
  <c r="G41" i="15"/>
  <c r="Q41" i="15" s="1"/>
  <c r="B41" i="15"/>
  <c r="A41" i="15"/>
  <c r="H40" i="15"/>
  <c r="G40" i="15"/>
  <c r="Q40" i="15" s="1"/>
  <c r="D40" i="15"/>
  <c r="N40" i="15" s="1"/>
  <c r="C40" i="15"/>
  <c r="B40" i="15"/>
  <c r="E40" i="15" s="1"/>
  <c r="O40" i="15" s="1"/>
  <c r="A40" i="15"/>
  <c r="Q39" i="15"/>
  <c r="M39" i="15"/>
  <c r="H39" i="15"/>
  <c r="G39" i="15"/>
  <c r="E39" i="15"/>
  <c r="O39" i="15" s="1"/>
  <c r="D39" i="15"/>
  <c r="C39" i="15"/>
  <c r="B39" i="15"/>
  <c r="F39" i="15" s="1"/>
  <c r="P39" i="15" s="1"/>
  <c r="A39" i="15"/>
  <c r="Q38" i="15"/>
  <c r="H38" i="15"/>
  <c r="G38" i="15"/>
  <c r="F38" i="15"/>
  <c r="P38" i="15" s="1"/>
  <c r="E38" i="15"/>
  <c r="O38" i="15" s="1"/>
  <c r="B38" i="15"/>
  <c r="A38" i="15"/>
  <c r="H37" i="15"/>
  <c r="G37" i="15"/>
  <c r="Q37" i="15" s="1"/>
  <c r="B37" i="15"/>
  <c r="F37" i="15" s="1"/>
  <c r="P37" i="15" s="1"/>
  <c r="A37" i="15"/>
  <c r="O36" i="15"/>
  <c r="H36" i="15"/>
  <c r="G36" i="15"/>
  <c r="Q36" i="15" s="1"/>
  <c r="D36" i="15"/>
  <c r="N36" i="15" s="1"/>
  <c r="C36" i="15"/>
  <c r="B36" i="15"/>
  <c r="E36" i="15" s="1"/>
  <c r="A36" i="15"/>
  <c r="Q35" i="15"/>
  <c r="P35" i="15"/>
  <c r="M35" i="15"/>
  <c r="H35" i="15"/>
  <c r="G35" i="15"/>
  <c r="E35" i="15"/>
  <c r="O35" i="15" s="1"/>
  <c r="D35" i="15"/>
  <c r="N35" i="15" s="1"/>
  <c r="C35" i="15"/>
  <c r="B35" i="15"/>
  <c r="F35" i="15" s="1"/>
  <c r="A35" i="15"/>
  <c r="Q34" i="15"/>
  <c r="H34" i="15"/>
  <c r="G34" i="15"/>
  <c r="F34" i="15"/>
  <c r="P34" i="15" s="1"/>
  <c r="E34" i="15"/>
  <c r="O34" i="15" s="1"/>
  <c r="B34" i="15"/>
  <c r="A34" i="15"/>
  <c r="H33" i="15"/>
  <c r="G33" i="15"/>
  <c r="Q33" i="15" s="1"/>
  <c r="B33" i="15"/>
  <c r="F33" i="15" s="1"/>
  <c r="P33" i="15" s="1"/>
  <c r="A33" i="15"/>
  <c r="H32" i="15"/>
  <c r="G32" i="15"/>
  <c r="Q32" i="15" s="1"/>
  <c r="D32" i="15"/>
  <c r="N32" i="15" s="1"/>
  <c r="C32" i="15"/>
  <c r="B32" i="15"/>
  <c r="E32" i="15" s="1"/>
  <c r="O32" i="15" s="1"/>
  <c r="A32" i="15"/>
  <c r="Q31" i="15"/>
  <c r="P31" i="15"/>
  <c r="M31" i="15"/>
  <c r="H31" i="15"/>
  <c r="G31" i="15"/>
  <c r="E31" i="15"/>
  <c r="O31" i="15" s="1"/>
  <c r="D31" i="15"/>
  <c r="N31" i="15" s="1"/>
  <c r="C31" i="15"/>
  <c r="B31" i="15"/>
  <c r="F31" i="15" s="1"/>
  <c r="A31" i="15"/>
  <c r="Q30" i="15"/>
  <c r="H30" i="15"/>
  <c r="G30" i="15"/>
  <c r="F30" i="15"/>
  <c r="P30" i="15" s="1"/>
  <c r="B30" i="15"/>
  <c r="C30" i="15" s="1"/>
  <c r="A30" i="15"/>
  <c r="N29" i="15"/>
  <c r="H29" i="15"/>
  <c r="G29" i="15"/>
  <c r="Q29" i="15" s="1"/>
  <c r="E29" i="15"/>
  <c r="O29" i="15" s="1"/>
  <c r="C29" i="15"/>
  <c r="B29" i="15"/>
  <c r="D29" i="15" s="1"/>
  <c r="A29" i="15"/>
  <c r="O28" i="15"/>
  <c r="H28" i="15"/>
  <c r="G28" i="15"/>
  <c r="Q28" i="15" s="1"/>
  <c r="F28" i="15"/>
  <c r="P28" i="15" s="1"/>
  <c r="D28" i="15"/>
  <c r="N28" i="15" s="1"/>
  <c r="C28" i="15"/>
  <c r="B28" i="15"/>
  <c r="E28" i="15" s="1"/>
  <c r="A28" i="15"/>
  <c r="H27" i="15"/>
  <c r="G27" i="15"/>
  <c r="Q27" i="15" s="1"/>
  <c r="E27" i="15"/>
  <c r="O27" i="15" s="1"/>
  <c r="D27" i="15"/>
  <c r="N27" i="15" s="1"/>
  <c r="C27" i="15"/>
  <c r="M27" i="15" s="1"/>
  <c r="B27" i="15"/>
  <c r="F27" i="15" s="1"/>
  <c r="P27" i="15" s="1"/>
  <c r="A27" i="15"/>
  <c r="Q26" i="15"/>
  <c r="N26" i="15"/>
  <c r="M26" i="15"/>
  <c r="H26" i="15"/>
  <c r="G26" i="15"/>
  <c r="F26" i="15"/>
  <c r="P26" i="15" s="1"/>
  <c r="E26" i="15"/>
  <c r="O26" i="15" s="1"/>
  <c r="D26" i="15"/>
  <c r="B26" i="15"/>
  <c r="C26" i="15" s="1"/>
  <c r="A26" i="15"/>
  <c r="H25" i="15"/>
  <c r="G25" i="15"/>
  <c r="Q25" i="15" s="1"/>
  <c r="B25" i="15"/>
  <c r="D25" i="15" s="1"/>
  <c r="N25" i="15" s="1"/>
  <c r="A25" i="15"/>
  <c r="O24" i="15"/>
  <c r="N24" i="15"/>
  <c r="H24" i="15"/>
  <c r="G24" i="15"/>
  <c r="Q24" i="15" s="1"/>
  <c r="D24" i="15"/>
  <c r="C24" i="15"/>
  <c r="B24" i="15"/>
  <c r="E24" i="15" s="1"/>
  <c r="A24" i="15"/>
  <c r="P23" i="15"/>
  <c r="H23" i="15"/>
  <c r="G23" i="15"/>
  <c r="Q23" i="15" s="1"/>
  <c r="E23" i="15"/>
  <c r="O23" i="15" s="1"/>
  <c r="D23" i="15"/>
  <c r="N23" i="15" s="1"/>
  <c r="C23" i="15"/>
  <c r="M23" i="15" s="1"/>
  <c r="B23" i="15"/>
  <c r="F23" i="15" s="1"/>
  <c r="A23" i="15"/>
  <c r="Q22" i="15"/>
  <c r="M22" i="15"/>
  <c r="H22" i="15"/>
  <c r="G22" i="15"/>
  <c r="E22" i="15"/>
  <c r="O22" i="15" s="1"/>
  <c r="D22" i="15"/>
  <c r="B22" i="15"/>
  <c r="C22" i="15" s="1"/>
  <c r="A22" i="15"/>
  <c r="Q21" i="15"/>
  <c r="H21" i="15"/>
  <c r="G21" i="15"/>
  <c r="B21" i="15"/>
  <c r="A21" i="15"/>
  <c r="H20" i="15"/>
  <c r="G20" i="15"/>
  <c r="Q20" i="15" s="1"/>
  <c r="C20" i="15"/>
  <c r="B20" i="15"/>
  <c r="A20" i="15"/>
  <c r="P19" i="15"/>
  <c r="O19" i="15"/>
  <c r="H19" i="15"/>
  <c r="G19" i="15"/>
  <c r="Q19" i="15" s="1"/>
  <c r="E19" i="15"/>
  <c r="D19" i="15"/>
  <c r="N19" i="15" s="1"/>
  <c r="C19" i="15"/>
  <c r="M19" i="15" s="1"/>
  <c r="B19" i="15"/>
  <c r="F19" i="15" s="1"/>
  <c r="A19" i="15"/>
  <c r="Q18" i="15"/>
  <c r="H18" i="15"/>
  <c r="G18" i="15"/>
  <c r="D18" i="15"/>
  <c r="N18" i="15" s="1"/>
  <c r="B18" i="15"/>
  <c r="A18" i="15"/>
  <c r="O17" i="15"/>
  <c r="N17" i="15"/>
  <c r="H17" i="15"/>
  <c r="G17" i="15"/>
  <c r="Q17" i="15" s="1"/>
  <c r="F17" i="15"/>
  <c r="P17" i="15" s="1"/>
  <c r="E17" i="15"/>
  <c r="I17" i="15" s="1"/>
  <c r="C17" i="15"/>
  <c r="M17" i="15" s="1"/>
  <c r="B17" i="15"/>
  <c r="D17" i="15" s="1"/>
  <c r="A17" i="15"/>
  <c r="H16" i="15"/>
  <c r="G16" i="15"/>
  <c r="Q16" i="15" s="1"/>
  <c r="F16" i="15"/>
  <c r="P16" i="15" s="1"/>
  <c r="B16" i="15"/>
  <c r="A16" i="15"/>
  <c r="O15" i="15"/>
  <c r="M15" i="15"/>
  <c r="H15" i="15"/>
  <c r="G15" i="15"/>
  <c r="Q15" i="15" s="1"/>
  <c r="E15" i="15"/>
  <c r="D15" i="15"/>
  <c r="N15" i="15" s="1"/>
  <c r="C15" i="15"/>
  <c r="I15" i="15" s="1"/>
  <c r="B15" i="15"/>
  <c r="F15" i="15" s="1"/>
  <c r="P15" i="15" s="1"/>
  <c r="A15" i="15"/>
  <c r="Q14" i="15"/>
  <c r="H14" i="15"/>
  <c r="G14" i="15"/>
  <c r="F14" i="15"/>
  <c r="P14" i="15" s="1"/>
  <c r="E14" i="15"/>
  <c r="O14" i="15" s="1"/>
  <c r="B14" i="15"/>
  <c r="A14" i="15"/>
  <c r="Q13" i="15"/>
  <c r="H13" i="15"/>
  <c r="G13" i="15"/>
  <c r="E13" i="15"/>
  <c r="O13" i="15" s="1"/>
  <c r="C13" i="15"/>
  <c r="B13" i="15"/>
  <c r="A13" i="15"/>
  <c r="P12" i="15"/>
  <c r="O12" i="15"/>
  <c r="H12" i="15"/>
  <c r="G12" i="15"/>
  <c r="Q12" i="15" s="1"/>
  <c r="F12" i="15"/>
  <c r="D12" i="15"/>
  <c r="N12" i="15" s="1"/>
  <c r="C12" i="15"/>
  <c r="B12" i="15"/>
  <c r="E12" i="15" s="1"/>
  <c r="A12" i="15"/>
  <c r="Q11" i="15"/>
  <c r="P11" i="15"/>
  <c r="H11" i="15"/>
  <c r="G11" i="15"/>
  <c r="E11" i="15"/>
  <c r="O11" i="15" s="1"/>
  <c r="D11" i="15"/>
  <c r="N11" i="15" s="1"/>
  <c r="C11" i="15"/>
  <c r="I11" i="15" s="1"/>
  <c r="L11" i="15" s="1"/>
  <c r="B11" i="15"/>
  <c r="F11" i="15" s="1"/>
  <c r="A11" i="15"/>
  <c r="Q10" i="15"/>
  <c r="P10" i="15"/>
  <c r="M10" i="15"/>
  <c r="H10" i="15"/>
  <c r="G10" i="15"/>
  <c r="F10" i="15"/>
  <c r="E10" i="15"/>
  <c r="O10" i="15" s="1"/>
  <c r="D10" i="15"/>
  <c r="N10" i="15" s="1"/>
  <c r="B10" i="15"/>
  <c r="C10" i="15" s="1"/>
  <c r="A10" i="15"/>
  <c r="Q9" i="15"/>
  <c r="H9" i="15"/>
  <c r="G9" i="15"/>
  <c r="F9" i="15"/>
  <c r="P9" i="15" s="1"/>
  <c r="C9" i="15"/>
  <c r="B9" i="15"/>
  <c r="A9" i="15"/>
  <c r="H8" i="15"/>
  <c r="G8" i="15"/>
  <c r="Q8" i="15" s="1"/>
  <c r="B8" i="15"/>
  <c r="A8" i="15"/>
  <c r="O7" i="15"/>
  <c r="H7" i="15"/>
  <c r="G7" i="15"/>
  <c r="Q7" i="15" s="1"/>
  <c r="E7" i="15"/>
  <c r="D7" i="15"/>
  <c r="N7" i="15" s="1"/>
  <c r="C7" i="15"/>
  <c r="M7" i="15" s="1"/>
  <c r="B7" i="15"/>
  <c r="F7" i="15" s="1"/>
  <c r="P7" i="15" s="1"/>
  <c r="A7" i="15"/>
  <c r="Q6" i="15"/>
  <c r="H6" i="15"/>
  <c r="G6" i="15"/>
  <c r="B6" i="15"/>
  <c r="A6" i="15"/>
  <c r="H5" i="15"/>
  <c r="G5" i="15"/>
  <c r="Q5" i="15" s="1"/>
  <c r="B5" i="15"/>
  <c r="A5" i="15"/>
  <c r="N45" i="14"/>
  <c r="M45" i="14"/>
  <c r="H45" i="14"/>
  <c r="G45" i="14"/>
  <c r="Q45" i="14" s="1"/>
  <c r="F45" i="14"/>
  <c r="P45" i="14" s="1"/>
  <c r="E45" i="14"/>
  <c r="O45" i="14" s="1"/>
  <c r="C45" i="14"/>
  <c r="B45" i="14"/>
  <c r="D45" i="14" s="1"/>
  <c r="A45" i="14"/>
  <c r="H44" i="14"/>
  <c r="G44" i="14"/>
  <c r="Q44" i="14" s="1"/>
  <c r="F44" i="14"/>
  <c r="P44" i="14" s="1"/>
  <c r="D44" i="14"/>
  <c r="N44" i="14" s="1"/>
  <c r="B44" i="14"/>
  <c r="A44" i="14"/>
  <c r="Q43" i="14"/>
  <c r="H43" i="14"/>
  <c r="G43" i="14"/>
  <c r="E43" i="14"/>
  <c r="O43" i="14" s="1"/>
  <c r="D43" i="14"/>
  <c r="N43" i="14" s="1"/>
  <c r="C43" i="14"/>
  <c r="M43" i="14" s="1"/>
  <c r="B43" i="14"/>
  <c r="F43" i="14" s="1"/>
  <c r="P43" i="14" s="1"/>
  <c r="A43" i="14"/>
  <c r="Q42" i="14"/>
  <c r="H42" i="14"/>
  <c r="G42" i="14"/>
  <c r="B42" i="14"/>
  <c r="A42" i="14"/>
  <c r="H41" i="14"/>
  <c r="G41" i="14"/>
  <c r="Q41" i="14" s="1"/>
  <c r="B41" i="14"/>
  <c r="C41" i="14" s="1"/>
  <c r="A41" i="14"/>
  <c r="N40" i="14"/>
  <c r="H40" i="14"/>
  <c r="G40" i="14"/>
  <c r="Q40" i="14" s="1"/>
  <c r="F40" i="14"/>
  <c r="P40" i="14" s="1"/>
  <c r="E40" i="14"/>
  <c r="O40" i="14" s="1"/>
  <c r="B40" i="14"/>
  <c r="D40" i="14" s="1"/>
  <c r="A40" i="14"/>
  <c r="H39" i="14"/>
  <c r="G39" i="14"/>
  <c r="Q39" i="14" s="1"/>
  <c r="F39" i="14"/>
  <c r="P39" i="14" s="1"/>
  <c r="B39" i="14"/>
  <c r="E39" i="14" s="1"/>
  <c r="O39" i="14" s="1"/>
  <c r="A39" i="14"/>
  <c r="P38" i="14"/>
  <c r="O38" i="14"/>
  <c r="H38" i="14"/>
  <c r="G38" i="14"/>
  <c r="Q38" i="14" s="1"/>
  <c r="E38" i="14"/>
  <c r="D38" i="14"/>
  <c r="N38" i="14" s="1"/>
  <c r="C38" i="14"/>
  <c r="I38" i="14" s="1"/>
  <c r="B38" i="14"/>
  <c r="F38" i="14" s="1"/>
  <c r="A38" i="14"/>
  <c r="Q37" i="14"/>
  <c r="H37" i="14"/>
  <c r="G37" i="14"/>
  <c r="F37" i="14"/>
  <c r="P37" i="14" s="1"/>
  <c r="B37" i="14"/>
  <c r="C37" i="14" s="1"/>
  <c r="M37" i="14" s="1"/>
  <c r="A37" i="14"/>
  <c r="N36" i="14"/>
  <c r="H36" i="14"/>
  <c r="G36" i="14"/>
  <c r="Q36" i="14" s="1"/>
  <c r="F36" i="14"/>
  <c r="P36" i="14" s="1"/>
  <c r="E36" i="14"/>
  <c r="O36" i="14" s="1"/>
  <c r="C36" i="14"/>
  <c r="I36" i="14" s="1"/>
  <c r="B36" i="14"/>
  <c r="D36" i="14" s="1"/>
  <c r="A36" i="14"/>
  <c r="O35" i="14"/>
  <c r="H35" i="14"/>
  <c r="G35" i="14"/>
  <c r="Q35" i="14" s="1"/>
  <c r="F35" i="14"/>
  <c r="P35" i="14" s="1"/>
  <c r="D35" i="14"/>
  <c r="N35" i="14" s="1"/>
  <c r="B35" i="14"/>
  <c r="E35" i="14" s="1"/>
  <c r="A35" i="14"/>
  <c r="O34" i="14"/>
  <c r="H34" i="14"/>
  <c r="G34" i="14"/>
  <c r="Q34" i="14" s="1"/>
  <c r="E34" i="14"/>
  <c r="D34" i="14"/>
  <c r="N34" i="14" s="1"/>
  <c r="C34" i="14"/>
  <c r="B34" i="14"/>
  <c r="F34" i="14" s="1"/>
  <c r="P34" i="14" s="1"/>
  <c r="A34" i="14"/>
  <c r="Q33" i="14"/>
  <c r="H33" i="14"/>
  <c r="G33" i="14"/>
  <c r="F33" i="14"/>
  <c r="P33" i="14" s="1"/>
  <c r="E33" i="14"/>
  <c r="O33" i="14" s="1"/>
  <c r="B33" i="14"/>
  <c r="C33" i="14" s="1"/>
  <c r="M33" i="14" s="1"/>
  <c r="A33" i="14"/>
  <c r="Q32" i="14"/>
  <c r="H32" i="14"/>
  <c r="G32" i="14"/>
  <c r="B32" i="14"/>
  <c r="A32" i="14"/>
  <c r="O31" i="14"/>
  <c r="N31" i="14"/>
  <c r="H31" i="14"/>
  <c r="G31" i="14"/>
  <c r="Q31" i="14" s="1"/>
  <c r="F31" i="14"/>
  <c r="P31" i="14" s="1"/>
  <c r="D31" i="14"/>
  <c r="C31" i="14"/>
  <c r="B31" i="14"/>
  <c r="E31" i="14" s="1"/>
  <c r="A31" i="14"/>
  <c r="H30" i="14"/>
  <c r="G30" i="14"/>
  <c r="Q30" i="14" s="1"/>
  <c r="E30" i="14"/>
  <c r="O30" i="14" s="1"/>
  <c r="D30" i="14"/>
  <c r="N30" i="14" s="1"/>
  <c r="C30" i="14"/>
  <c r="M30" i="14" s="1"/>
  <c r="B30" i="14"/>
  <c r="F30" i="14" s="1"/>
  <c r="P30" i="14" s="1"/>
  <c r="A30" i="14"/>
  <c r="Q29" i="14"/>
  <c r="M29" i="14"/>
  <c r="H29" i="14"/>
  <c r="G29" i="14"/>
  <c r="F29" i="14"/>
  <c r="P29" i="14" s="1"/>
  <c r="E29" i="14"/>
  <c r="O29" i="14" s="1"/>
  <c r="D29" i="14"/>
  <c r="N29" i="14" s="1"/>
  <c r="B29" i="14"/>
  <c r="C29" i="14" s="1"/>
  <c r="A29" i="14"/>
  <c r="Q28" i="14"/>
  <c r="H28" i="14"/>
  <c r="G28" i="14"/>
  <c r="F28" i="14"/>
  <c r="P28" i="14" s="1"/>
  <c r="C28" i="14"/>
  <c r="B28" i="14"/>
  <c r="A28" i="14"/>
  <c r="H27" i="14"/>
  <c r="G27" i="14"/>
  <c r="Q27" i="14" s="1"/>
  <c r="B27" i="14"/>
  <c r="A27" i="14"/>
  <c r="O26" i="14"/>
  <c r="H26" i="14"/>
  <c r="G26" i="14"/>
  <c r="Q26" i="14" s="1"/>
  <c r="E26" i="14"/>
  <c r="D26" i="14"/>
  <c r="N26" i="14" s="1"/>
  <c r="C26" i="14"/>
  <c r="M26" i="14" s="1"/>
  <c r="B26" i="14"/>
  <c r="F26" i="14" s="1"/>
  <c r="P26" i="14" s="1"/>
  <c r="A26" i="14"/>
  <c r="Q25" i="14"/>
  <c r="H25" i="14"/>
  <c r="G25" i="14"/>
  <c r="B25" i="14"/>
  <c r="A25" i="14"/>
  <c r="H24" i="14"/>
  <c r="G24" i="14"/>
  <c r="Q24" i="14" s="1"/>
  <c r="B24" i="14"/>
  <c r="E24" i="14" s="1"/>
  <c r="O24" i="14" s="1"/>
  <c r="A24" i="14"/>
  <c r="P23" i="14"/>
  <c r="O23" i="14"/>
  <c r="H23" i="14"/>
  <c r="G23" i="14"/>
  <c r="Q23" i="14" s="1"/>
  <c r="E23" i="14"/>
  <c r="D23" i="14"/>
  <c r="N23" i="14" s="1"/>
  <c r="C23" i="14"/>
  <c r="M23" i="14" s="1"/>
  <c r="B23" i="14"/>
  <c r="F23" i="14" s="1"/>
  <c r="A23" i="14"/>
  <c r="Q22" i="14"/>
  <c r="H22" i="14"/>
  <c r="G22" i="14"/>
  <c r="B22" i="14"/>
  <c r="C22" i="14" s="1"/>
  <c r="A22" i="14"/>
  <c r="N21" i="14"/>
  <c r="H21" i="14"/>
  <c r="G21" i="14"/>
  <c r="Q21" i="14" s="1"/>
  <c r="F21" i="14"/>
  <c r="P21" i="14" s="1"/>
  <c r="E21" i="14"/>
  <c r="O21" i="14" s="1"/>
  <c r="C21" i="14"/>
  <c r="M21" i="14" s="1"/>
  <c r="B21" i="14"/>
  <c r="D21" i="14" s="1"/>
  <c r="A21" i="14"/>
  <c r="H20" i="14"/>
  <c r="G20" i="14"/>
  <c r="Q20" i="14" s="1"/>
  <c r="F20" i="14"/>
  <c r="P20" i="14" s="1"/>
  <c r="B20" i="14"/>
  <c r="E20" i="14" s="1"/>
  <c r="O20" i="14" s="1"/>
  <c r="A20" i="14"/>
  <c r="O19" i="14"/>
  <c r="H19" i="14"/>
  <c r="G19" i="14"/>
  <c r="Q19" i="14" s="1"/>
  <c r="E19" i="14"/>
  <c r="D19" i="14"/>
  <c r="N19" i="14" s="1"/>
  <c r="C19" i="14"/>
  <c r="I19" i="14" s="1"/>
  <c r="B19" i="14"/>
  <c r="F19" i="14" s="1"/>
  <c r="P19" i="14" s="1"/>
  <c r="A19" i="14"/>
  <c r="Q18" i="14"/>
  <c r="H18" i="14"/>
  <c r="G18" i="14"/>
  <c r="F18" i="14"/>
  <c r="P18" i="14" s="1"/>
  <c r="B18" i="14"/>
  <c r="C18" i="14" s="1"/>
  <c r="A18" i="14"/>
  <c r="N17" i="14"/>
  <c r="H17" i="14"/>
  <c r="G17" i="14"/>
  <c r="Q17" i="14" s="1"/>
  <c r="E17" i="14"/>
  <c r="O17" i="14" s="1"/>
  <c r="C17" i="14"/>
  <c r="B17" i="14"/>
  <c r="D17" i="14" s="1"/>
  <c r="A17" i="14"/>
  <c r="O16" i="14"/>
  <c r="H16" i="14"/>
  <c r="G16" i="14"/>
  <c r="Q16" i="14" s="1"/>
  <c r="F16" i="14"/>
  <c r="P16" i="14" s="1"/>
  <c r="D16" i="14"/>
  <c r="N16" i="14" s="1"/>
  <c r="C16" i="14"/>
  <c r="B16" i="14"/>
  <c r="E16" i="14" s="1"/>
  <c r="A16" i="14"/>
  <c r="H15" i="14"/>
  <c r="G15" i="14"/>
  <c r="Q15" i="14" s="1"/>
  <c r="E15" i="14"/>
  <c r="O15" i="14" s="1"/>
  <c r="D15" i="14"/>
  <c r="N15" i="14" s="1"/>
  <c r="C15" i="14"/>
  <c r="I15" i="14" s="1"/>
  <c r="B15" i="14"/>
  <c r="F15" i="14" s="1"/>
  <c r="P15" i="14" s="1"/>
  <c r="A15" i="14"/>
  <c r="Q14" i="14"/>
  <c r="N14" i="14"/>
  <c r="M14" i="14"/>
  <c r="H14" i="14"/>
  <c r="G14" i="14"/>
  <c r="F14" i="14"/>
  <c r="P14" i="14" s="1"/>
  <c r="E14" i="14"/>
  <c r="O14" i="14" s="1"/>
  <c r="D14" i="14"/>
  <c r="B14" i="14"/>
  <c r="C14" i="14" s="1"/>
  <c r="A14" i="14"/>
  <c r="Q13" i="14"/>
  <c r="H13" i="14"/>
  <c r="G13" i="14"/>
  <c r="B13" i="14"/>
  <c r="A13" i="14"/>
  <c r="O12" i="14"/>
  <c r="N12" i="14"/>
  <c r="H12" i="14"/>
  <c r="G12" i="14"/>
  <c r="Q12" i="14" s="1"/>
  <c r="D12" i="14"/>
  <c r="C12" i="14"/>
  <c r="B12" i="14"/>
  <c r="E12" i="14" s="1"/>
  <c r="A12" i="14"/>
  <c r="P11" i="14"/>
  <c r="H11" i="14"/>
  <c r="G11" i="14"/>
  <c r="Q11" i="14" s="1"/>
  <c r="E11" i="14"/>
  <c r="O11" i="14" s="1"/>
  <c r="D11" i="14"/>
  <c r="N11" i="14" s="1"/>
  <c r="C11" i="14"/>
  <c r="M11" i="14" s="1"/>
  <c r="B11" i="14"/>
  <c r="F11" i="14" s="1"/>
  <c r="A11" i="14"/>
  <c r="Q10" i="14"/>
  <c r="M10" i="14"/>
  <c r="H10" i="14"/>
  <c r="G10" i="14"/>
  <c r="E10" i="14"/>
  <c r="O10" i="14" s="1"/>
  <c r="D10" i="14"/>
  <c r="B10" i="14"/>
  <c r="C10" i="14" s="1"/>
  <c r="A10" i="14"/>
  <c r="H9" i="14"/>
  <c r="G9" i="14"/>
  <c r="Q9" i="14" s="1"/>
  <c r="F9" i="14"/>
  <c r="P9" i="14" s="1"/>
  <c r="B9" i="14"/>
  <c r="D9" i="14" s="1"/>
  <c r="N9" i="14" s="1"/>
  <c r="A9" i="14"/>
  <c r="H8" i="14"/>
  <c r="G8" i="14"/>
  <c r="Q8" i="14" s="1"/>
  <c r="B8" i="14"/>
  <c r="A8" i="14"/>
  <c r="P7" i="14"/>
  <c r="H7" i="14"/>
  <c r="G7" i="14"/>
  <c r="Q7" i="14" s="1"/>
  <c r="E7" i="14"/>
  <c r="O7" i="14" s="1"/>
  <c r="D7" i="14"/>
  <c r="N7" i="14" s="1"/>
  <c r="C7" i="14"/>
  <c r="M7" i="14" s="1"/>
  <c r="B7" i="14"/>
  <c r="F7" i="14" s="1"/>
  <c r="A7" i="14"/>
  <c r="Q6" i="14"/>
  <c r="H6" i="14"/>
  <c r="G6" i="14"/>
  <c r="B6" i="14"/>
  <c r="D6" i="14" s="1"/>
  <c r="N6" i="14" s="1"/>
  <c r="A6" i="14"/>
  <c r="O5" i="14"/>
  <c r="N5" i="14"/>
  <c r="H5" i="14"/>
  <c r="G5" i="14"/>
  <c r="Q5" i="14" s="1"/>
  <c r="F5" i="14"/>
  <c r="P5" i="14" s="1"/>
  <c r="E5" i="14"/>
  <c r="I5" i="14" s="1"/>
  <c r="C5" i="14"/>
  <c r="M5" i="14" s="1"/>
  <c r="B5" i="14"/>
  <c r="D5" i="14" s="1"/>
  <c r="A5" i="14"/>
  <c r="N45" i="13"/>
  <c r="H45" i="13"/>
  <c r="G45" i="13"/>
  <c r="Q45" i="13" s="1"/>
  <c r="E45" i="13"/>
  <c r="O45" i="13" s="1"/>
  <c r="C45" i="13"/>
  <c r="M45" i="13" s="1"/>
  <c r="B45" i="13"/>
  <c r="D45" i="13" s="1"/>
  <c r="A45" i="13"/>
  <c r="P44" i="13"/>
  <c r="O44" i="13"/>
  <c r="H44" i="13"/>
  <c r="G44" i="13"/>
  <c r="Q44" i="13" s="1"/>
  <c r="F44" i="13"/>
  <c r="D44" i="13"/>
  <c r="N44" i="13" s="1"/>
  <c r="C44" i="13"/>
  <c r="B44" i="13"/>
  <c r="E44" i="13" s="1"/>
  <c r="A44" i="13"/>
  <c r="Q43" i="13"/>
  <c r="P43" i="13"/>
  <c r="H43" i="13"/>
  <c r="G43" i="13"/>
  <c r="E43" i="13"/>
  <c r="O43" i="13" s="1"/>
  <c r="D43" i="13"/>
  <c r="N43" i="13" s="1"/>
  <c r="C43" i="13"/>
  <c r="I43" i="13" s="1"/>
  <c r="L43" i="13" s="1"/>
  <c r="B43" i="13"/>
  <c r="F43" i="13" s="1"/>
  <c r="A43" i="13"/>
  <c r="Q42" i="13"/>
  <c r="P42" i="13"/>
  <c r="M42" i="13"/>
  <c r="H42" i="13"/>
  <c r="G42" i="13"/>
  <c r="F42" i="13"/>
  <c r="E42" i="13"/>
  <c r="O42" i="13" s="1"/>
  <c r="D42" i="13"/>
  <c r="N42" i="13" s="1"/>
  <c r="B42" i="13"/>
  <c r="C42" i="13" s="1"/>
  <c r="A42" i="13"/>
  <c r="Q41" i="13"/>
  <c r="H41" i="13"/>
  <c r="G41" i="13"/>
  <c r="F41" i="13"/>
  <c r="P41" i="13" s="1"/>
  <c r="C41" i="13"/>
  <c r="B41" i="13"/>
  <c r="A41" i="13"/>
  <c r="H40" i="13"/>
  <c r="G40" i="13"/>
  <c r="Q40" i="13" s="1"/>
  <c r="B40" i="13"/>
  <c r="D40" i="13" s="1"/>
  <c r="N40" i="13" s="1"/>
  <c r="A40" i="13"/>
  <c r="O39" i="13"/>
  <c r="H39" i="13"/>
  <c r="G39" i="13"/>
  <c r="Q39" i="13" s="1"/>
  <c r="E39" i="13"/>
  <c r="D39" i="13"/>
  <c r="N39" i="13" s="1"/>
  <c r="C39" i="13"/>
  <c r="M39" i="13" s="1"/>
  <c r="B39" i="13"/>
  <c r="F39" i="13" s="1"/>
  <c r="P39" i="13" s="1"/>
  <c r="A39" i="13"/>
  <c r="Q38" i="13"/>
  <c r="H38" i="13"/>
  <c r="G38" i="13"/>
  <c r="B38" i="13"/>
  <c r="E38" i="13" s="1"/>
  <c r="O38" i="13" s="1"/>
  <c r="A38" i="13"/>
  <c r="H37" i="13"/>
  <c r="G37" i="13"/>
  <c r="Q37" i="13" s="1"/>
  <c r="B37" i="13"/>
  <c r="F37" i="13" s="1"/>
  <c r="P37" i="13" s="1"/>
  <c r="A37" i="13"/>
  <c r="H36" i="13"/>
  <c r="G36" i="13"/>
  <c r="Q36" i="13" s="1"/>
  <c r="F36" i="13"/>
  <c r="P36" i="13" s="1"/>
  <c r="C36" i="13"/>
  <c r="B36" i="13"/>
  <c r="A36" i="13"/>
  <c r="P35" i="13"/>
  <c r="O35" i="13"/>
  <c r="H35" i="13"/>
  <c r="G35" i="13"/>
  <c r="Q35" i="13" s="1"/>
  <c r="E35" i="13"/>
  <c r="D35" i="13"/>
  <c r="N35" i="13" s="1"/>
  <c r="C35" i="13"/>
  <c r="I35" i="13" s="1"/>
  <c r="B35" i="13"/>
  <c r="F35" i="13" s="1"/>
  <c r="A35" i="13"/>
  <c r="Q34" i="13"/>
  <c r="P34" i="13"/>
  <c r="H34" i="13"/>
  <c r="G34" i="13"/>
  <c r="F34" i="13"/>
  <c r="E34" i="13"/>
  <c r="O34" i="13" s="1"/>
  <c r="B34" i="13"/>
  <c r="C34" i="13" s="1"/>
  <c r="M34" i="13" s="1"/>
  <c r="A34" i="13"/>
  <c r="H33" i="13"/>
  <c r="G33" i="13"/>
  <c r="Q33" i="13" s="1"/>
  <c r="B33" i="13"/>
  <c r="D33" i="13" s="1"/>
  <c r="N33" i="13" s="1"/>
  <c r="A33" i="13"/>
  <c r="O32" i="13"/>
  <c r="N32" i="13"/>
  <c r="H32" i="13"/>
  <c r="G32" i="13"/>
  <c r="Q32" i="13" s="1"/>
  <c r="F32" i="13"/>
  <c r="P32" i="13" s="1"/>
  <c r="D32" i="13"/>
  <c r="C32" i="13"/>
  <c r="B32" i="13"/>
  <c r="E32" i="13" s="1"/>
  <c r="A32" i="13"/>
  <c r="P31" i="13"/>
  <c r="H31" i="13"/>
  <c r="G31" i="13"/>
  <c r="Q31" i="13" s="1"/>
  <c r="E31" i="13"/>
  <c r="O31" i="13" s="1"/>
  <c r="D31" i="13"/>
  <c r="N31" i="13" s="1"/>
  <c r="C31" i="13"/>
  <c r="M31" i="13" s="1"/>
  <c r="B31" i="13"/>
  <c r="F31" i="13" s="1"/>
  <c r="A31" i="13"/>
  <c r="Q30" i="13"/>
  <c r="M30" i="13"/>
  <c r="H30" i="13"/>
  <c r="G30" i="13"/>
  <c r="F30" i="13"/>
  <c r="P30" i="13" s="1"/>
  <c r="E30" i="13"/>
  <c r="O30" i="13" s="1"/>
  <c r="D30" i="13"/>
  <c r="B30" i="13"/>
  <c r="C30" i="13" s="1"/>
  <c r="A30" i="13"/>
  <c r="H29" i="13"/>
  <c r="G29" i="13"/>
  <c r="Q29" i="13" s="1"/>
  <c r="F29" i="13"/>
  <c r="P29" i="13" s="1"/>
  <c r="B29" i="13"/>
  <c r="D29" i="13" s="1"/>
  <c r="N29" i="13" s="1"/>
  <c r="A29" i="13"/>
  <c r="H28" i="13"/>
  <c r="G28" i="13"/>
  <c r="Q28" i="13" s="1"/>
  <c r="B28" i="13"/>
  <c r="A28" i="13"/>
  <c r="H27" i="13"/>
  <c r="G27" i="13"/>
  <c r="Q27" i="13" s="1"/>
  <c r="F27" i="13"/>
  <c r="P27" i="13" s="1"/>
  <c r="B27" i="13"/>
  <c r="C27" i="13" s="1"/>
  <c r="A27" i="13"/>
  <c r="P26" i="13"/>
  <c r="O26" i="13"/>
  <c r="H26" i="13"/>
  <c r="G26" i="13"/>
  <c r="Q26" i="13" s="1"/>
  <c r="E26" i="13"/>
  <c r="D26" i="13"/>
  <c r="N26" i="13" s="1"/>
  <c r="C26" i="13"/>
  <c r="B26" i="13"/>
  <c r="F26" i="13" s="1"/>
  <c r="A26" i="13"/>
  <c r="Q25" i="13"/>
  <c r="H25" i="13"/>
  <c r="G25" i="13"/>
  <c r="E25" i="13"/>
  <c r="O25" i="13" s="1"/>
  <c r="D25" i="13"/>
  <c r="N25" i="13" s="1"/>
  <c r="B25" i="13"/>
  <c r="F25" i="13" s="1"/>
  <c r="P25" i="13" s="1"/>
  <c r="A25" i="13"/>
  <c r="Q24" i="13"/>
  <c r="H24" i="13"/>
  <c r="G24" i="13"/>
  <c r="E24" i="13"/>
  <c r="O24" i="13" s="1"/>
  <c r="B24" i="13"/>
  <c r="F24" i="13" s="1"/>
  <c r="P24" i="13" s="1"/>
  <c r="A24" i="13"/>
  <c r="H23" i="13"/>
  <c r="G23" i="13"/>
  <c r="Q23" i="13" s="1"/>
  <c r="F23" i="13"/>
  <c r="P23" i="13" s="1"/>
  <c r="C23" i="13"/>
  <c r="B23" i="13"/>
  <c r="A23" i="13"/>
  <c r="O22" i="13"/>
  <c r="H22" i="13"/>
  <c r="G22" i="13"/>
  <c r="Q22" i="13" s="1"/>
  <c r="E22" i="13"/>
  <c r="D22" i="13"/>
  <c r="N22" i="13" s="1"/>
  <c r="C22" i="13"/>
  <c r="B22" i="13"/>
  <c r="F22" i="13" s="1"/>
  <c r="P22" i="13" s="1"/>
  <c r="A22" i="13"/>
  <c r="Q21" i="13"/>
  <c r="H21" i="13"/>
  <c r="G21" i="13"/>
  <c r="E21" i="13"/>
  <c r="O21" i="13" s="1"/>
  <c r="D21" i="13"/>
  <c r="N21" i="13" s="1"/>
  <c r="B21" i="13"/>
  <c r="F21" i="13" s="1"/>
  <c r="P21" i="13" s="1"/>
  <c r="A21" i="13"/>
  <c r="Q20" i="13"/>
  <c r="H20" i="13"/>
  <c r="G20" i="13"/>
  <c r="F20" i="13"/>
  <c r="P20" i="13" s="1"/>
  <c r="B20" i="13"/>
  <c r="E20" i="13" s="1"/>
  <c r="O20" i="13" s="1"/>
  <c r="A20" i="13"/>
  <c r="H19" i="13"/>
  <c r="G19" i="13"/>
  <c r="Q19" i="13" s="1"/>
  <c r="B19" i="13"/>
  <c r="A19" i="13"/>
  <c r="O18" i="13"/>
  <c r="H18" i="13"/>
  <c r="G18" i="13"/>
  <c r="Q18" i="13" s="1"/>
  <c r="E18" i="13"/>
  <c r="D18" i="13"/>
  <c r="N18" i="13" s="1"/>
  <c r="C18" i="13"/>
  <c r="B18" i="13"/>
  <c r="F18" i="13" s="1"/>
  <c r="P18" i="13" s="1"/>
  <c r="A18" i="13"/>
  <c r="Q17" i="13"/>
  <c r="M17" i="13"/>
  <c r="H17" i="13"/>
  <c r="G17" i="13"/>
  <c r="F17" i="13"/>
  <c r="P17" i="13" s="1"/>
  <c r="E17" i="13"/>
  <c r="O17" i="13" s="1"/>
  <c r="D17" i="13"/>
  <c r="N17" i="13" s="1"/>
  <c r="B17" i="13"/>
  <c r="C17" i="13" s="1"/>
  <c r="A17" i="13"/>
  <c r="H16" i="13"/>
  <c r="G16" i="13"/>
  <c r="Q16" i="13" s="1"/>
  <c r="F16" i="13"/>
  <c r="P16" i="13" s="1"/>
  <c r="C16" i="13"/>
  <c r="M16" i="13" s="1"/>
  <c r="B16" i="13"/>
  <c r="D16" i="13" s="1"/>
  <c r="N16" i="13" s="1"/>
  <c r="A16" i="13"/>
  <c r="H15" i="13"/>
  <c r="G15" i="13"/>
  <c r="Q15" i="13" s="1"/>
  <c r="B15" i="13"/>
  <c r="E15" i="13" s="1"/>
  <c r="O15" i="13" s="1"/>
  <c r="A15" i="13"/>
  <c r="O14" i="13"/>
  <c r="H14" i="13"/>
  <c r="G14" i="13"/>
  <c r="Q14" i="13" s="1"/>
  <c r="E14" i="13"/>
  <c r="D14" i="13"/>
  <c r="N14" i="13" s="1"/>
  <c r="C14" i="13"/>
  <c r="M14" i="13" s="1"/>
  <c r="B14" i="13"/>
  <c r="F14" i="13" s="1"/>
  <c r="P14" i="13" s="1"/>
  <c r="A14" i="13"/>
  <c r="Q13" i="13"/>
  <c r="H13" i="13"/>
  <c r="G13" i="13"/>
  <c r="B13" i="13"/>
  <c r="C13" i="13" s="1"/>
  <c r="A13" i="13"/>
  <c r="N12" i="13"/>
  <c r="H12" i="13"/>
  <c r="G12" i="13"/>
  <c r="Q12" i="13" s="1"/>
  <c r="E12" i="13"/>
  <c r="O12" i="13" s="1"/>
  <c r="B12" i="13"/>
  <c r="D12" i="13" s="1"/>
  <c r="A12" i="13"/>
  <c r="H11" i="13"/>
  <c r="G11" i="13"/>
  <c r="Q11" i="13" s="1"/>
  <c r="F11" i="13"/>
  <c r="P11" i="13" s="1"/>
  <c r="C11" i="13"/>
  <c r="B11" i="13"/>
  <c r="E11" i="13" s="1"/>
  <c r="O11" i="13" s="1"/>
  <c r="A11" i="13"/>
  <c r="P10" i="13"/>
  <c r="H10" i="13"/>
  <c r="G10" i="13"/>
  <c r="Q10" i="13" s="1"/>
  <c r="E10" i="13"/>
  <c r="O10" i="13" s="1"/>
  <c r="D10" i="13"/>
  <c r="N10" i="13" s="1"/>
  <c r="C10" i="13"/>
  <c r="I10" i="13" s="1"/>
  <c r="B10" i="13"/>
  <c r="F10" i="13" s="1"/>
  <c r="A10" i="13"/>
  <c r="Q9" i="13"/>
  <c r="M9" i="13"/>
  <c r="H9" i="13"/>
  <c r="G9" i="13"/>
  <c r="F9" i="13"/>
  <c r="P9" i="13" s="1"/>
  <c r="D9" i="13"/>
  <c r="N9" i="13" s="1"/>
  <c r="B9" i="13"/>
  <c r="C9" i="13" s="1"/>
  <c r="A9" i="13"/>
  <c r="O8" i="13"/>
  <c r="N8" i="13"/>
  <c r="H8" i="13"/>
  <c r="G8" i="13"/>
  <c r="Q8" i="13" s="1"/>
  <c r="F8" i="13"/>
  <c r="P8" i="13" s="1"/>
  <c r="E8" i="13"/>
  <c r="C8" i="13"/>
  <c r="I8" i="13" s="1"/>
  <c r="B8" i="13"/>
  <c r="D8" i="13" s="1"/>
  <c r="A8" i="13"/>
  <c r="O7" i="13"/>
  <c r="H7" i="13"/>
  <c r="G7" i="13"/>
  <c r="Q7" i="13" s="1"/>
  <c r="D7" i="13"/>
  <c r="N7" i="13" s="1"/>
  <c r="B7" i="13"/>
  <c r="E7" i="13" s="1"/>
  <c r="A7" i="13"/>
  <c r="O6" i="13"/>
  <c r="H6" i="13"/>
  <c r="G6" i="13"/>
  <c r="Q6" i="13" s="1"/>
  <c r="E6" i="13"/>
  <c r="D6" i="13"/>
  <c r="N6" i="13" s="1"/>
  <c r="C6" i="13"/>
  <c r="M6" i="13" s="1"/>
  <c r="B6" i="13"/>
  <c r="F6" i="13" s="1"/>
  <c r="P6" i="13" s="1"/>
  <c r="A6" i="13"/>
  <c r="Q5" i="13"/>
  <c r="H5" i="13"/>
  <c r="G5" i="13"/>
  <c r="E5" i="13"/>
  <c r="O5" i="13" s="1"/>
  <c r="B5" i="13"/>
  <c r="C5" i="13" s="1"/>
  <c r="M5" i="13" s="1"/>
  <c r="A5" i="13"/>
  <c r="H45" i="12"/>
  <c r="B45" i="12"/>
  <c r="F45" i="12" s="1"/>
  <c r="P45" i="12" s="1"/>
  <c r="A45" i="12"/>
  <c r="N44" i="12"/>
  <c r="H44" i="12"/>
  <c r="E44" i="12"/>
  <c r="O44" i="12" s="1"/>
  <c r="B44" i="12"/>
  <c r="D44" i="12" s="1"/>
  <c r="A44" i="12"/>
  <c r="H43" i="12"/>
  <c r="F43" i="12"/>
  <c r="P43" i="12" s="1"/>
  <c r="C43" i="12"/>
  <c r="B43" i="12"/>
  <c r="E43" i="12" s="1"/>
  <c r="O43" i="12" s="1"/>
  <c r="A43" i="12"/>
  <c r="P42" i="12"/>
  <c r="H42" i="12"/>
  <c r="G42" i="12"/>
  <c r="Q42" i="12" s="1"/>
  <c r="E42" i="12"/>
  <c r="O42" i="12" s="1"/>
  <c r="D42" i="12"/>
  <c r="N42" i="12" s="1"/>
  <c r="C42" i="12"/>
  <c r="I42" i="12" s="1"/>
  <c r="B42" i="12"/>
  <c r="F42" i="12" s="1"/>
  <c r="A42" i="12"/>
  <c r="H41" i="12"/>
  <c r="E41" i="12"/>
  <c r="O41" i="12" s="1"/>
  <c r="B41" i="12"/>
  <c r="F41" i="12" s="1"/>
  <c r="P41" i="12" s="1"/>
  <c r="A41" i="12"/>
  <c r="H40" i="12"/>
  <c r="B40" i="12"/>
  <c r="D40" i="12" s="1"/>
  <c r="N40" i="12" s="1"/>
  <c r="A40" i="12"/>
  <c r="O39" i="12"/>
  <c r="N39" i="12"/>
  <c r="H39" i="12"/>
  <c r="F39" i="12"/>
  <c r="P39" i="12" s="1"/>
  <c r="D39" i="12"/>
  <c r="C39" i="12"/>
  <c r="B39" i="12"/>
  <c r="E39" i="12" s="1"/>
  <c r="A39" i="12"/>
  <c r="P38" i="12"/>
  <c r="H38" i="12"/>
  <c r="G38" i="12"/>
  <c r="Q38" i="12" s="1"/>
  <c r="E38" i="12"/>
  <c r="O38" i="12" s="1"/>
  <c r="D38" i="12"/>
  <c r="N38" i="12" s="1"/>
  <c r="C38" i="12"/>
  <c r="M38" i="12" s="1"/>
  <c r="B38" i="12"/>
  <c r="F38" i="12" s="1"/>
  <c r="A38" i="12"/>
  <c r="H37" i="12"/>
  <c r="B37" i="12"/>
  <c r="F37" i="12" s="1"/>
  <c r="P37" i="12" s="1"/>
  <c r="A37" i="12"/>
  <c r="N36" i="12"/>
  <c r="H36" i="12"/>
  <c r="E36" i="12"/>
  <c r="O36" i="12" s="1"/>
  <c r="B36" i="12"/>
  <c r="D36" i="12" s="1"/>
  <c r="A36" i="12"/>
  <c r="H35" i="12"/>
  <c r="F35" i="12"/>
  <c r="P35" i="12" s="1"/>
  <c r="C35" i="12"/>
  <c r="B35" i="12"/>
  <c r="E35" i="12" s="1"/>
  <c r="O35" i="12" s="1"/>
  <c r="A35" i="12"/>
  <c r="P34" i="12"/>
  <c r="H34" i="12"/>
  <c r="G34" i="12"/>
  <c r="Q34" i="12" s="1"/>
  <c r="E34" i="12"/>
  <c r="O34" i="12" s="1"/>
  <c r="D34" i="12"/>
  <c r="N34" i="12" s="1"/>
  <c r="C34" i="12"/>
  <c r="I34" i="12" s="1"/>
  <c r="B34" i="12"/>
  <c r="F34" i="12" s="1"/>
  <c r="A34" i="12"/>
  <c r="H33" i="12"/>
  <c r="E33" i="12"/>
  <c r="O33" i="12" s="1"/>
  <c r="B33" i="12"/>
  <c r="F33" i="12" s="1"/>
  <c r="P33" i="12" s="1"/>
  <c r="A33" i="12"/>
  <c r="H32" i="12"/>
  <c r="B32" i="12"/>
  <c r="D32" i="12" s="1"/>
  <c r="N32" i="12" s="1"/>
  <c r="A32" i="12"/>
  <c r="O31" i="12"/>
  <c r="N31" i="12"/>
  <c r="H31" i="12"/>
  <c r="F31" i="12"/>
  <c r="P31" i="12" s="1"/>
  <c r="D31" i="12"/>
  <c r="C31" i="12"/>
  <c r="B31" i="12"/>
  <c r="E31" i="12" s="1"/>
  <c r="A31" i="12"/>
  <c r="P30" i="12"/>
  <c r="H30" i="12"/>
  <c r="G30" i="12"/>
  <c r="Q30" i="12" s="1"/>
  <c r="E30" i="12"/>
  <c r="O30" i="12" s="1"/>
  <c r="D30" i="12"/>
  <c r="N30" i="12" s="1"/>
  <c r="C30" i="12"/>
  <c r="M30" i="12" s="1"/>
  <c r="B30" i="12"/>
  <c r="F30" i="12" s="1"/>
  <c r="A30" i="12"/>
  <c r="H29" i="12"/>
  <c r="B29" i="12"/>
  <c r="F29" i="12" s="1"/>
  <c r="P29" i="12" s="1"/>
  <c r="A29" i="12"/>
  <c r="N28" i="12"/>
  <c r="H28" i="12"/>
  <c r="E28" i="12"/>
  <c r="O28" i="12" s="1"/>
  <c r="B28" i="12"/>
  <c r="D28" i="12" s="1"/>
  <c r="A28" i="12"/>
  <c r="H27" i="12"/>
  <c r="F27" i="12"/>
  <c r="P27" i="12" s="1"/>
  <c r="C27" i="12"/>
  <c r="B27" i="12"/>
  <c r="E27" i="12" s="1"/>
  <c r="O27" i="12" s="1"/>
  <c r="A27" i="12"/>
  <c r="P26" i="12"/>
  <c r="H26" i="12"/>
  <c r="G26" i="12"/>
  <c r="Q26" i="12" s="1"/>
  <c r="E26" i="12"/>
  <c r="O26" i="12" s="1"/>
  <c r="D26" i="12"/>
  <c r="N26" i="12" s="1"/>
  <c r="C26" i="12"/>
  <c r="I26" i="12" s="1"/>
  <c r="B26" i="12"/>
  <c r="F26" i="12" s="1"/>
  <c r="A26" i="12"/>
  <c r="H25" i="12"/>
  <c r="E25" i="12"/>
  <c r="O25" i="12" s="1"/>
  <c r="B25" i="12"/>
  <c r="F25" i="12" s="1"/>
  <c r="P25" i="12" s="1"/>
  <c r="A25" i="12"/>
  <c r="H24" i="12"/>
  <c r="B24" i="12"/>
  <c r="D24" i="12" s="1"/>
  <c r="N24" i="12" s="1"/>
  <c r="A24" i="12"/>
  <c r="O23" i="12"/>
  <c r="N23" i="12"/>
  <c r="H23" i="12"/>
  <c r="F23" i="12"/>
  <c r="P23" i="12" s="1"/>
  <c r="D23" i="12"/>
  <c r="C23" i="12"/>
  <c r="B23" i="12"/>
  <c r="E23" i="12" s="1"/>
  <c r="A23" i="12"/>
  <c r="P22" i="12"/>
  <c r="H22" i="12"/>
  <c r="G22" i="12"/>
  <c r="Q22" i="12" s="1"/>
  <c r="E22" i="12"/>
  <c r="O22" i="12" s="1"/>
  <c r="D22" i="12"/>
  <c r="N22" i="12" s="1"/>
  <c r="C22" i="12"/>
  <c r="M22" i="12" s="1"/>
  <c r="B22" i="12"/>
  <c r="F22" i="12" s="1"/>
  <c r="A22" i="12"/>
  <c r="H21" i="12"/>
  <c r="B21" i="12"/>
  <c r="F21" i="12" s="1"/>
  <c r="P21" i="12" s="1"/>
  <c r="A21" i="12"/>
  <c r="N20" i="12"/>
  <c r="H20" i="12"/>
  <c r="E20" i="12"/>
  <c r="O20" i="12" s="1"/>
  <c r="B20" i="12"/>
  <c r="D20" i="12" s="1"/>
  <c r="A20" i="12"/>
  <c r="H19" i="12"/>
  <c r="F19" i="12"/>
  <c r="P19" i="12" s="1"/>
  <c r="C19" i="12"/>
  <c r="B19" i="12"/>
  <c r="E19" i="12" s="1"/>
  <c r="O19" i="12" s="1"/>
  <c r="A19" i="12"/>
  <c r="P18" i="12"/>
  <c r="H18" i="12"/>
  <c r="G18" i="12"/>
  <c r="Q18" i="12" s="1"/>
  <c r="E18" i="12"/>
  <c r="O18" i="12" s="1"/>
  <c r="D18" i="12"/>
  <c r="N18" i="12" s="1"/>
  <c r="C18" i="12"/>
  <c r="I18" i="12" s="1"/>
  <c r="B18" i="12"/>
  <c r="F18" i="12" s="1"/>
  <c r="A18" i="12"/>
  <c r="H17" i="12"/>
  <c r="E17" i="12"/>
  <c r="O17" i="12" s="1"/>
  <c r="B17" i="12"/>
  <c r="F17" i="12" s="1"/>
  <c r="P17" i="12" s="1"/>
  <c r="A17" i="12"/>
  <c r="H16" i="12"/>
  <c r="B16" i="12"/>
  <c r="A16" i="12"/>
  <c r="O15" i="12"/>
  <c r="N15" i="12"/>
  <c r="H15" i="12"/>
  <c r="F15" i="12"/>
  <c r="P15" i="12" s="1"/>
  <c r="D15" i="12"/>
  <c r="C15" i="12"/>
  <c r="B15" i="12"/>
  <c r="E15" i="12" s="1"/>
  <c r="A15" i="12"/>
  <c r="P14" i="12"/>
  <c r="H14" i="12"/>
  <c r="G14" i="12"/>
  <c r="Q14" i="12" s="1"/>
  <c r="E14" i="12"/>
  <c r="O14" i="12" s="1"/>
  <c r="D14" i="12"/>
  <c r="N14" i="12" s="1"/>
  <c r="C14" i="12"/>
  <c r="M14" i="12" s="1"/>
  <c r="B14" i="12"/>
  <c r="F14" i="12" s="1"/>
  <c r="A14" i="12"/>
  <c r="H13" i="12"/>
  <c r="B13" i="12"/>
  <c r="A13" i="12"/>
  <c r="N12" i="12"/>
  <c r="H12" i="12"/>
  <c r="E12" i="12"/>
  <c r="O12" i="12" s="1"/>
  <c r="B12" i="12"/>
  <c r="D12" i="12" s="1"/>
  <c r="A12" i="12"/>
  <c r="H11" i="12"/>
  <c r="F11" i="12"/>
  <c r="P11" i="12" s="1"/>
  <c r="C11" i="12"/>
  <c r="B11" i="12"/>
  <c r="E11" i="12" s="1"/>
  <c r="O11" i="12" s="1"/>
  <c r="A11" i="12"/>
  <c r="P10" i="12"/>
  <c r="H10" i="12"/>
  <c r="G10" i="12"/>
  <c r="Q10" i="12" s="1"/>
  <c r="E10" i="12"/>
  <c r="O10" i="12" s="1"/>
  <c r="D10" i="12"/>
  <c r="N10" i="12" s="1"/>
  <c r="C10" i="12"/>
  <c r="I10" i="12" s="1"/>
  <c r="B10" i="12"/>
  <c r="F10" i="12" s="1"/>
  <c r="A10" i="12"/>
  <c r="H9" i="12"/>
  <c r="E9" i="12"/>
  <c r="O9" i="12" s="1"/>
  <c r="B9" i="12"/>
  <c r="F9" i="12" s="1"/>
  <c r="P9" i="12" s="1"/>
  <c r="A9" i="12"/>
  <c r="H8" i="12"/>
  <c r="G8" i="12"/>
  <c r="Q8" i="12" s="1"/>
  <c r="B8" i="12"/>
  <c r="A8" i="12"/>
  <c r="O7" i="12"/>
  <c r="N7" i="12"/>
  <c r="H7" i="12"/>
  <c r="F7" i="12"/>
  <c r="P7" i="12" s="1"/>
  <c r="D7" i="12"/>
  <c r="C7" i="12"/>
  <c r="B7" i="12"/>
  <c r="E7" i="12" s="1"/>
  <c r="A7" i="12"/>
  <c r="P6" i="12"/>
  <c r="H6" i="12"/>
  <c r="G6" i="12"/>
  <c r="Q6" i="12" s="1"/>
  <c r="E6" i="12"/>
  <c r="O6" i="12" s="1"/>
  <c r="D6" i="12"/>
  <c r="N6" i="12" s="1"/>
  <c r="C6" i="12"/>
  <c r="M6" i="12" s="1"/>
  <c r="B6" i="12"/>
  <c r="F6" i="12" s="1"/>
  <c r="A6" i="12"/>
  <c r="H5" i="12"/>
  <c r="B5" i="12"/>
  <c r="A5" i="12"/>
  <c r="Q45" i="11"/>
  <c r="P45" i="11"/>
  <c r="M45" i="11"/>
  <c r="H45" i="11"/>
  <c r="G45" i="11"/>
  <c r="F45" i="11"/>
  <c r="D45" i="11"/>
  <c r="N45" i="11" s="1"/>
  <c r="B45" i="11"/>
  <c r="C45" i="11" s="1"/>
  <c r="A45" i="11"/>
  <c r="O44" i="11"/>
  <c r="N44" i="11"/>
  <c r="H44" i="11"/>
  <c r="G44" i="11"/>
  <c r="Q44" i="11" s="1"/>
  <c r="F44" i="11"/>
  <c r="P44" i="11" s="1"/>
  <c r="E44" i="11"/>
  <c r="C44" i="11"/>
  <c r="I44" i="11" s="1"/>
  <c r="B44" i="11"/>
  <c r="D44" i="11" s="1"/>
  <c r="A44" i="11"/>
  <c r="O43" i="11"/>
  <c r="H43" i="11"/>
  <c r="G43" i="11"/>
  <c r="Q43" i="11" s="1"/>
  <c r="D43" i="11"/>
  <c r="N43" i="11" s="1"/>
  <c r="B43" i="11"/>
  <c r="E43" i="11" s="1"/>
  <c r="A43" i="11"/>
  <c r="O42" i="11"/>
  <c r="H42" i="11"/>
  <c r="G42" i="11"/>
  <c r="Q42" i="11" s="1"/>
  <c r="E42" i="11"/>
  <c r="D42" i="11"/>
  <c r="N42" i="11" s="1"/>
  <c r="C42" i="11"/>
  <c r="M42" i="11" s="1"/>
  <c r="B42" i="11"/>
  <c r="F42" i="11" s="1"/>
  <c r="P42" i="11" s="1"/>
  <c r="A42" i="11"/>
  <c r="Q41" i="11"/>
  <c r="H41" i="11"/>
  <c r="G41" i="11"/>
  <c r="E41" i="11"/>
  <c r="O41" i="11" s="1"/>
  <c r="B41" i="11"/>
  <c r="C41" i="11" s="1"/>
  <c r="M41" i="11" s="1"/>
  <c r="A41" i="11"/>
  <c r="Q40" i="11"/>
  <c r="H40" i="11"/>
  <c r="G40" i="11"/>
  <c r="B40" i="11"/>
  <c r="A40" i="11"/>
  <c r="O39" i="11"/>
  <c r="N39" i="11"/>
  <c r="H39" i="11"/>
  <c r="G39" i="11"/>
  <c r="Q39" i="11" s="1"/>
  <c r="F39" i="11"/>
  <c r="P39" i="11" s="1"/>
  <c r="D39" i="11"/>
  <c r="C39" i="11"/>
  <c r="B39" i="11"/>
  <c r="E39" i="11" s="1"/>
  <c r="A39" i="11"/>
  <c r="P38" i="11"/>
  <c r="H38" i="11"/>
  <c r="G38" i="11"/>
  <c r="Q38" i="11" s="1"/>
  <c r="E38" i="11"/>
  <c r="O38" i="11" s="1"/>
  <c r="D38" i="11"/>
  <c r="N38" i="11" s="1"/>
  <c r="C38" i="11"/>
  <c r="B38" i="11"/>
  <c r="F38" i="11" s="1"/>
  <c r="A38" i="11"/>
  <c r="Q37" i="11"/>
  <c r="M37" i="11"/>
  <c r="H37" i="11"/>
  <c r="G37" i="11"/>
  <c r="F37" i="11"/>
  <c r="P37" i="11" s="1"/>
  <c r="E37" i="11"/>
  <c r="O37" i="11" s="1"/>
  <c r="D37" i="11"/>
  <c r="B37" i="11"/>
  <c r="C37" i="11" s="1"/>
  <c r="A37" i="11"/>
  <c r="M36" i="11"/>
  <c r="H36" i="11"/>
  <c r="G36" i="11"/>
  <c r="Q36" i="11" s="1"/>
  <c r="F36" i="11"/>
  <c r="P36" i="11" s="1"/>
  <c r="C36" i="11"/>
  <c r="B36" i="11"/>
  <c r="D36" i="11" s="1"/>
  <c r="N36" i="11" s="1"/>
  <c r="A36" i="11"/>
  <c r="H35" i="11"/>
  <c r="G35" i="11"/>
  <c r="Q35" i="11" s="1"/>
  <c r="B35" i="11"/>
  <c r="D35" i="11" s="1"/>
  <c r="N35" i="11" s="1"/>
  <c r="A35" i="11"/>
  <c r="Q34" i="11"/>
  <c r="O34" i="11"/>
  <c r="H34" i="11"/>
  <c r="G34" i="11"/>
  <c r="E34" i="11"/>
  <c r="D34" i="11"/>
  <c r="N34" i="11" s="1"/>
  <c r="C34" i="11"/>
  <c r="M34" i="11" s="1"/>
  <c r="B34" i="11"/>
  <c r="F34" i="11" s="1"/>
  <c r="P34" i="11" s="1"/>
  <c r="A34" i="11"/>
  <c r="Q33" i="11"/>
  <c r="H33" i="11"/>
  <c r="G33" i="11"/>
  <c r="B33" i="11"/>
  <c r="E33" i="11" s="1"/>
  <c r="O33" i="11" s="1"/>
  <c r="A33" i="11"/>
  <c r="Q32" i="11"/>
  <c r="H32" i="11"/>
  <c r="G32" i="11"/>
  <c r="E32" i="11"/>
  <c r="O32" i="11" s="1"/>
  <c r="B32" i="11"/>
  <c r="A32" i="11"/>
  <c r="H31" i="11"/>
  <c r="G31" i="11"/>
  <c r="Q31" i="11" s="1"/>
  <c r="F31" i="11"/>
  <c r="P31" i="11" s="1"/>
  <c r="C31" i="11"/>
  <c r="B31" i="11"/>
  <c r="E31" i="11" s="1"/>
  <c r="O31" i="11" s="1"/>
  <c r="A31" i="11"/>
  <c r="P30" i="11"/>
  <c r="K30" i="11"/>
  <c r="H30" i="11"/>
  <c r="G30" i="11"/>
  <c r="Q30" i="11" s="1"/>
  <c r="E30" i="11"/>
  <c r="O30" i="11" s="1"/>
  <c r="D30" i="11"/>
  <c r="N30" i="11" s="1"/>
  <c r="C30" i="11"/>
  <c r="I30" i="11" s="1"/>
  <c r="L30" i="11" s="1"/>
  <c r="B30" i="11"/>
  <c r="F30" i="11" s="1"/>
  <c r="A30" i="11"/>
  <c r="Q29" i="11"/>
  <c r="H29" i="11"/>
  <c r="G29" i="11"/>
  <c r="F29" i="11"/>
  <c r="P29" i="11" s="1"/>
  <c r="B29" i="11"/>
  <c r="A29" i="11"/>
  <c r="N28" i="11"/>
  <c r="M28" i="11"/>
  <c r="H28" i="11"/>
  <c r="G28" i="11"/>
  <c r="Q28" i="11" s="1"/>
  <c r="F28" i="11"/>
  <c r="P28" i="11" s="1"/>
  <c r="E28" i="11"/>
  <c r="O28" i="11" s="1"/>
  <c r="C28" i="11"/>
  <c r="B28" i="11"/>
  <c r="D28" i="11" s="1"/>
  <c r="A28" i="11"/>
  <c r="P27" i="11"/>
  <c r="H27" i="11"/>
  <c r="G27" i="11"/>
  <c r="Q27" i="11" s="1"/>
  <c r="F27" i="11"/>
  <c r="D27" i="11"/>
  <c r="N27" i="11" s="1"/>
  <c r="B27" i="11"/>
  <c r="A27" i="11"/>
  <c r="Q26" i="11"/>
  <c r="O26" i="11"/>
  <c r="H26" i="11"/>
  <c r="G26" i="11"/>
  <c r="E26" i="11"/>
  <c r="D26" i="11"/>
  <c r="N26" i="11" s="1"/>
  <c r="C26" i="11"/>
  <c r="M26" i="11" s="1"/>
  <c r="B26" i="11"/>
  <c r="F26" i="11" s="1"/>
  <c r="P26" i="11" s="1"/>
  <c r="A26" i="11"/>
  <c r="Q25" i="11"/>
  <c r="P25" i="11"/>
  <c r="H25" i="11"/>
  <c r="G25" i="11"/>
  <c r="F25" i="11"/>
  <c r="E25" i="11"/>
  <c r="O25" i="11" s="1"/>
  <c r="B25" i="11"/>
  <c r="A25" i="11"/>
  <c r="Q24" i="11"/>
  <c r="H24" i="11"/>
  <c r="G24" i="11"/>
  <c r="B24" i="11"/>
  <c r="E24" i="11" s="1"/>
  <c r="O24" i="11" s="1"/>
  <c r="A24" i="11"/>
  <c r="P23" i="11"/>
  <c r="O23" i="11"/>
  <c r="N23" i="11"/>
  <c r="H23" i="11"/>
  <c r="G23" i="11"/>
  <c r="Q23" i="11" s="1"/>
  <c r="F23" i="11"/>
  <c r="D23" i="11"/>
  <c r="C23" i="11"/>
  <c r="B23" i="11"/>
  <c r="E23" i="11" s="1"/>
  <c r="A23" i="11"/>
  <c r="M22" i="11"/>
  <c r="H22" i="11"/>
  <c r="G22" i="11"/>
  <c r="Q22" i="11" s="1"/>
  <c r="E22" i="11"/>
  <c r="O22" i="11" s="1"/>
  <c r="D22" i="11"/>
  <c r="N22" i="11" s="1"/>
  <c r="C22" i="11"/>
  <c r="B22" i="11"/>
  <c r="F22" i="11" s="1"/>
  <c r="P22" i="11" s="1"/>
  <c r="A22" i="11"/>
  <c r="H21" i="11"/>
  <c r="G21" i="11"/>
  <c r="Q21" i="11" s="1"/>
  <c r="B21" i="11"/>
  <c r="C21" i="11" s="1"/>
  <c r="M21" i="11" s="1"/>
  <c r="A21" i="11"/>
  <c r="N20" i="11"/>
  <c r="H20" i="11"/>
  <c r="G20" i="11"/>
  <c r="Q20" i="11" s="1"/>
  <c r="E20" i="11"/>
  <c r="O20" i="11" s="1"/>
  <c r="B20" i="11"/>
  <c r="D20" i="11" s="1"/>
  <c r="A20" i="11"/>
  <c r="H19" i="11"/>
  <c r="G19" i="11"/>
  <c r="Q19" i="11" s="1"/>
  <c r="F19" i="11"/>
  <c r="P19" i="11" s="1"/>
  <c r="C19" i="11"/>
  <c r="B19" i="11"/>
  <c r="E19" i="11" s="1"/>
  <c r="O19" i="11" s="1"/>
  <c r="A19" i="11"/>
  <c r="P18" i="11"/>
  <c r="H18" i="11"/>
  <c r="G18" i="11"/>
  <c r="Q18" i="11" s="1"/>
  <c r="E18" i="11"/>
  <c r="O18" i="11" s="1"/>
  <c r="D18" i="11"/>
  <c r="N18" i="11" s="1"/>
  <c r="C18" i="11"/>
  <c r="M18" i="11" s="1"/>
  <c r="B18" i="11"/>
  <c r="F18" i="11" s="1"/>
  <c r="A18" i="11"/>
  <c r="Q17" i="11"/>
  <c r="H17" i="11"/>
  <c r="G17" i="11"/>
  <c r="F17" i="11"/>
  <c r="P17" i="11" s="1"/>
  <c r="D17" i="11"/>
  <c r="N17" i="11" s="1"/>
  <c r="B17" i="11"/>
  <c r="C17" i="11" s="1"/>
  <c r="A17" i="11"/>
  <c r="N16" i="11"/>
  <c r="H16" i="11"/>
  <c r="G16" i="11"/>
  <c r="Q16" i="11" s="1"/>
  <c r="F16" i="11"/>
  <c r="P16" i="11" s="1"/>
  <c r="E16" i="11"/>
  <c r="O16" i="11" s="1"/>
  <c r="C16" i="11"/>
  <c r="M16" i="11" s="1"/>
  <c r="B16" i="11"/>
  <c r="D16" i="11" s="1"/>
  <c r="A16" i="11"/>
  <c r="O15" i="11"/>
  <c r="H15" i="11"/>
  <c r="G15" i="11"/>
  <c r="Q15" i="11" s="1"/>
  <c r="D15" i="11"/>
  <c r="N15" i="11" s="1"/>
  <c r="B15" i="11"/>
  <c r="E15" i="11" s="1"/>
  <c r="A15" i="11"/>
  <c r="O14" i="11"/>
  <c r="H14" i="11"/>
  <c r="G14" i="11"/>
  <c r="Q14" i="11" s="1"/>
  <c r="E14" i="11"/>
  <c r="D14" i="11"/>
  <c r="N14" i="11" s="1"/>
  <c r="C14" i="11"/>
  <c r="M14" i="11" s="1"/>
  <c r="B14" i="11"/>
  <c r="F14" i="11" s="1"/>
  <c r="P14" i="11" s="1"/>
  <c r="A14" i="11"/>
  <c r="Q13" i="11"/>
  <c r="H13" i="11"/>
  <c r="G13" i="11"/>
  <c r="E13" i="11"/>
  <c r="O13" i="11" s="1"/>
  <c r="B13" i="11"/>
  <c r="C13" i="11" s="1"/>
  <c r="M13" i="11" s="1"/>
  <c r="A13" i="11"/>
  <c r="H12" i="11"/>
  <c r="G12" i="11"/>
  <c r="Q12" i="11" s="1"/>
  <c r="B12" i="11"/>
  <c r="D12" i="11" s="1"/>
  <c r="N12" i="11" s="1"/>
  <c r="A12" i="11"/>
  <c r="O11" i="11"/>
  <c r="N11" i="11"/>
  <c r="H11" i="11"/>
  <c r="G11" i="11"/>
  <c r="Q11" i="11" s="1"/>
  <c r="F11" i="11"/>
  <c r="P11" i="11" s="1"/>
  <c r="D11" i="11"/>
  <c r="C11" i="11"/>
  <c r="B11" i="11"/>
  <c r="E11" i="11" s="1"/>
  <c r="A11" i="11"/>
  <c r="P10" i="11"/>
  <c r="H10" i="11"/>
  <c r="G10" i="11"/>
  <c r="Q10" i="11" s="1"/>
  <c r="E10" i="11"/>
  <c r="O10" i="11" s="1"/>
  <c r="D10" i="11"/>
  <c r="N10" i="11" s="1"/>
  <c r="C10" i="11"/>
  <c r="I10" i="11" s="1"/>
  <c r="B10" i="11"/>
  <c r="F10" i="11" s="1"/>
  <c r="A10" i="11"/>
  <c r="Q9" i="11"/>
  <c r="M9" i="11"/>
  <c r="H9" i="11"/>
  <c r="G9" i="11"/>
  <c r="F9" i="11"/>
  <c r="P9" i="11" s="1"/>
  <c r="E9" i="11"/>
  <c r="O9" i="11" s="1"/>
  <c r="D9" i="11"/>
  <c r="N9" i="11" s="1"/>
  <c r="B9" i="11"/>
  <c r="C9" i="11" s="1"/>
  <c r="A9" i="11"/>
  <c r="H8" i="11"/>
  <c r="G8" i="11"/>
  <c r="Q8" i="11" s="1"/>
  <c r="F8" i="11"/>
  <c r="P8" i="11" s="1"/>
  <c r="C8" i="11"/>
  <c r="B8" i="11"/>
  <c r="D8" i="11" s="1"/>
  <c r="N8" i="11" s="1"/>
  <c r="A8" i="11"/>
  <c r="H7" i="11"/>
  <c r="G7" i="11"/>
  <c r="Q7" i="11" s="1"/>
  <c r="B7" i="11"/>
  <c r="E7" i="11" s="1"/>
  <c r="O7" i="11" s="1"/>
  <c r="A7" i="11"/>
  <c r="O6" i="11"/>
  <c r="H6" i="11"/>
  <c r="G6" i="11"/>
  <c r="Q6" i="11" s="1"/>
  <c r="E6" i="11"/>
  <c r="D6" i="11"/>
  <c r="N6" i="11" s="1"/>
  <c r="C6" i="11"/>
  <c r="M6" i="11" s="1"/>
  <c r="B6" i="11"/>
  <c r="F6" i="11" s="1"/>
  <c r="P6" i="11" s="1"/>
  <c r="A6" i="11"/>
  <c r="Q5" i="11"/>
  <c r="H5" i="11"/>
  <c r="G5" i="11"/>
  <c r="B5" i="11"/>
  <c r="C5" i="11" s="1"/>
  <c r="A5" i="11"/>
  <c r="Q45" i="10"/>
  <c r="M45" i="10"/>
  <c r="H45" i="10"/>
  <c r="G45" i="10"/>
  <c r="F45" i="10"/>
  <c r="P45" i="10" s="1"/>
  <c r="D45" i="10"/>
  <c r="N45" i="10" s="1"/>
  <c r="B45" i="10"/>
  <c r="C45" i="10" s="1"/>
  <c r="A45" i="10"/>
  <c r="O44" i="10"/>
  <c r="N44" i="10"/>
  <c r="H44" i="10"/>
  <c r="G44" i="10"/>
  <c r="Q44" i="10" s="1"/>
  <c r="F44" i="10"/>
  <c r="P44" i="10" s="1"/>
  <c r="E44" i="10"/>
  <c r="C44" i="10"/>
  <c r="M44" i="10" s="1"/>
  <c r="B44" i="10"/>
  <c r="D44" i="10" s="1"/>
  <c r="A44" i="10"/>
  <c r="O43" i="10"/>
  <c r="H43" i="10"/>
  <c r="G43" i="10"/>
  <c r="Q43" i="10" s="1"/>
  <c r="D43" i="10"/>
  <c r="N43" i="10" s="1"/>
  <c r="B43" i="10"/>
  <c r="E43" i="10" s="1"/>
  <c r="A43" i="10"/>
  <c r="O42" i="10"/>
  <c r="H42" i="10"/>
  <c r="G42" i="10"/>
  <c r="Q42" i="10" s="1"/>
  <c r="E42" i="10"/>
  <c r="D42" i="10"/>
  <c r="N42" i="10" s="1"/>
  <c r="C42" i="10"/>
  <c r="M42" i="10" s="1"/>
  <c r="B42" i="10"/>
  <c r="F42" i="10" s="1"/>
  <c r="P42" i="10" s="1"/>
  <c r="A42" i="10"/>
  <c r="Q41" i="10"/>
  <c r="H41" i="10"/>
  <c r="G41" i="10"/>
  <c r="E41" i="10"/>
  <c r="O41" i="10" s="1"/>
  <c r="B41" i="10"/>
  <c r="C41" i="10" s="1"/>
  <c r="M41" i="10" s="1"/>
  <c r="A41" i="10"/>
  <c r="H40" i="10"/>
  <c r="G40" i="10"/>
  <c r="Q40" i="10" s="1"/>
  <c r="B40" i="10"/>
  <c r="D40" i="10" s="1"/>
  <c r="N40" i="10" s="1"/>
  <c r="A40" i="10"/>
  <c r="O39" i="10"/>
  <c r="N39" i="10"/>
  <c r="H39" i="10"/>
  <c r="G39" i="10"/>
  <c r="Q39" i="10" s="1"/>
  <c r="F39" i="10"/>
  <c r="P39" i="10" s="1"/>
  <c r="D39" i="10"/>
  <c r="C39" i="10"/>
  <c r="B39" i="10"/>
  <c r="E39" i="10" s="1"/>
  <c r="A39" i="10"/>
  <c r="P38" i="10"/>
  <c r="H38" i="10"/>
  <c r="G38" i="10"/>
  <c r="Q38" i="10" s="1"/>
  <c r="E38" i="10"/>
  <c r="O38" i="10" s="1"/>
  <c r="D38" i="10"/>
  <c r="N38" i="10" s="1"/>
  <c r="C38" i="10"/>
  <c r="I38" i="10" s="1"/>
  <c r="B38" i="10"/>
  <c r="F38" i="10" s="1"/>
  <c r="A38" i="10"/>
  <c r="Q37" i="10"/>
  <c r="M37" i="10"/>
  <c r="H37" i="10"/>
  <c r="G37" i="10"/>
  <c r="F37" i="10"/>
  <c r="P37" i="10" s="1"/>
  <c r="E37" i="10"/>
  <c r="O37" i="10" s="1"/>
  <c r="D37" i="10"/>
  <c r="N37" i="10" s="1"/>
  <c r="B37" i="10"/>
  <c r="C37" i="10" s="1"/>
  <c r="A37" i="10"/>
  <c r="H36" i="10"/>
  <c r="G36" i="10"/>
  <c r="Q36" i="10" s="1"/>
  <c r="F36" i="10"/>
  <c r="P36" i="10" s="1"/>
  <c r="B36" i="10"/>
  <c r="D36" i="10" s="1"/>
  <c r="N36" i="10" s="1"/>
  <c r="A36" i="10"/>
  <c r="H35" i="10"/>
  <c r="G35" i="10"/>
  <c r="Q35" i="10" s="1"/>
  <c r="B35" i="10"/>
  <c r="E35" i="10" s="1"/>
  <c r="O35" i="10" s="1"/>
  <c r="A35" i="10"/>
  <c r="P34" i="10"/>
  <c r="O34" i="10"/>
  <c r="H34" i="10"/>
  <c r="G34" i="10"/>
  <c r="Q34" i="10" s="1"/>
  <c r="E34" i="10"/>
  <c r="D34" i="10"/>
  <c r="N34" i="10" s="1"/>
  <c r="C34" i="10"/>
  <c r="M34" i="10" s="1"/>
  <c r="B34" i="10"/>
  <c r="F34" i="10" s="1"/>
  <c r="A34" i="10"/>
  <c r="Q33" i="10"/>
  <c r="H33" i="10"/>
  <c r="G33" i="10"/>
  <c r="B33" i="10"/>
  <c r="C33" i="10" s="1"/>
  <c r="A33" i="10"/>
  <c r="N32" i="10"/>
  <c r="H32" i="10"/>
  <c r="G32" i="10"/>
  <c r="Q32" i="10" s="1"/>
  <c r="F32" i="10"/>
  <c r="P32" i="10" s="1"/>
  <c r="E32" i="10"/>
  <c r="O32" i="10" s="1"/>
  <c r="B32" i="10"/>
  <c r="D32" i="10" s="1"/>
  <c r="A32" i="10"/>
  <c r="H31" i="10"/>
  <c r="G31" i="10"/>
  <c r="Q31" i="10" s="1"/>
  <c r="F31" i="10"/>
  <c r="P31" i="10" s="1"/>
  <c r="B31" i="10"/>
  <c r="E31" i="10" s="1"/>
  <c r="O31" i="10" s="1"/>
  <c r="A31" i="10"/>
  <c r="P30" i="10"/>
  <c r="O30" i="10"/>
  <c r="H30" i="10"/>
  <c r="G30" i="10"/>
  <c r="Q30" i="10" s="1"/>
  <c r="E30" i="10"/>
  <c r="D30" i="10"/>
  <c r="N30" i="10" s="1"/>
  <c r="C30" i="10"/>
  <c r="M30" i="10" s="1"/>
  <c r="B30" i="10"/>
  <c r="F30" i="10" s="1"/>
  <c r="A30" i="10"/>
  <c r="Q29" i="10"/>
  <c r="H29" i="10"/>
  <c r="G29" i="10"/>
  <c r="F29" i="10"/>
  <c r="P29" i="10" s="1"/>
  <c r="B29" i="10"/>
  <c r="C29" i="10" s="1"/>
  <c r="A29" i="10"/>
  <c r="N28" i="10"/>
  <c r="H28" i="10"/>
  <c r="G28" i="10"/>
  <c r="Q28" i="10" s="1"/>
  <c r="F28" i="10"/>
  <c r="P28" i="10" s="1"/>
  <c r="E28" i="10"/>
  <c r="O28" i="10" s="1"/>
  <c r="C28" i="10"/>
  <c r="M28" i="10" s="1"/>
  <c r="B28" i="10"/>
  <c r="D28" i="10" s="1"/>
  <c r="A28" i="10"/>
  <c r="O27" i="10"/>
  <c r="H27" i="10"/>
  <c r="G27" i="10"/>
  <c r="Q27" i="10" s="1"/>
  <c r="F27" i="10"/>
  <c r="P27" i="10" s="1"/>
  <c r="D27" i="10"/>
  <c r="N27" i="10" s="1"/>
  <c r="B27" i="10"/>
  <c r="E27" i="10" s="1"/>
  <c r="A27" i="10"/>
  <c r="O26" i="10"/>
  <c r="H26" i="10"/>
  <c r="G26" i="10"/>
  <c r="Q26" i="10" s="1"/>
  <c r="E26" i="10"/>
  <c r="D26" i="10"/>
  <c r="N26" i="10" s="1"/>
  <c r="C26" i="10"/>
  <c r="I26" i="10" s="1"/>
  <c r="B26" i="10"/>
  <c r="F26" i="10" s="1"/>
  <c r="P26" i="10" s="1"/>
  <c r="A26" i="10"/>
  <c r="Q25" i="10"/>
  <c r="H25" i="10"/>
  <c r="G25" i="10"/>
  <c r="F25" i="10"/>
  <c r="P25" i="10" s="1"/>
  <c r="E25" i="10"/>
  <c r="O25" i="10" s="1"/>
  <c r="B25" i="10"/>
  <c r="C25" i="10" s="1"/>
  <c r="M25" i="10" s="1"/>
  <c r="A25" i="10"/>
  <c r="H24" i="10"/>
  <c r="G24" i="10"/>
  <c r="Q24" i="10" s="1"/>
  <c r="B24" i="10"/>
  <c r="D24" i="10" s="1"/>
  <c r="N24" i="10" s="1"/>
  <c r="A24" i="10"/>
  <c r="O23" i="10"/>
  <c r="N23" i="10"/>
  <c r="H23" i="10"/>
  <c r="G23" i="10"/>
  <c r="Q23" i="10" s="1"/>
  <c r="F23" i="10"/>
  <c r="P23" i="10" s="1"/>
  <c r="D23" i="10"/>
  <c r="C23" i="10"/>
  <c r="B23" i="10"/>
  <c r="E23" i="10" s="1"/>
  <c r="A23" i="10"/>
  <c r="P22" i="10"/>
  <c r="H22" i="10"/>
  <c r="G22" i="10"/>
  <c r="Q22" i="10" s="1"/>
  <c r="E22" i="10"/>
  <c r="O22" i="10" s="1"/>
  <c r="D22" i="10"/>
  <c r="N22" i="10" s="1"/>
  <c r="C22" i="10"/>
  <c r="I22" i="10" s="1"/>
  <c r="B22" i="10"/>
  <c r="F22" i="10" s="1"/>
  <c r="A22" i="10"/>
  <c r="Q21" i="10"/>
  <c r="M21" i="10"/>
  <c r="H21" i="10"/>
  <c r="G21" i="10"/>
  <c r="F21" i="10"/>
  <c r="P21" i="10" s="1"/>
  <c r="E21" i="10"/>
  <c r="O21" i="10" s="1"/>
  <c r="D21" i="10"/>
  <c r="N21" i="10" s="1"/>
  <c r="B21" i="10"/>
  <c r="C21" i="10" s="1"/>
  <c r="A21" i="10"/>
  <c r="H20" i="10"/>
  <c r="G20" i="10"/>
  <c r="Q20" i="10" s="1"/>
  <c r="F20" i="10"/>
  <c r="P20" i="10" s="1"/>
  <c r="B20" i="10"/>
  <c r="D20" i="10" s="1"/>
  <c r="N20" i="10" s="1"/>
  <c r="A20" i="10"/>
  <c r="H19" i="10"/>
  <c r="G19" i="10"/>
  <c r="Q19" i="10" s="1"/>
  <c r="B19" i="10"/>
  <c r="A19" i="10"/>
  <c r="P18" i="10"/>
  <c r="O18" i="10"/>
  <c r="H18" i="10"/>
  <c r="G18" i="10"/>
  <c r="Q18" i="10" s="1"/>
  <c r="E18" i="10"/>
  <c r="D18" i="10"/>
  <c r="N18" i="10" s="1"/>
  <c r="C18" i="10"/>
  <c r="M18" i="10" s="1"/>
  <c r="B18" i="10"/>
  <c r="F18" i="10" s="1"/>
  <c r="A18" i="10"/>
  <c r="Q17" i="10"/>
  <c r="H17" i="10"/>
  <c r="G17" i="10"/>
  <c r="B17" i="10"/>
  <c r="A17" i="10"/>
  <c r="N16" i="10"/>
  <c r="H16" i="10"/>
  <c r="G16" i="10"/>
  <c r="Q16" i="10" s="1"/>
  <c r="F16" i="10"/>
  <c r="P16" i="10" s="1"/>
  <c r="E16" i="10"/>
  <c r="O16" i="10" s="1"/>
  <c r="B16" i="10"/>
  <c r="D16" i="10" s="1"/>
  <c r="A16" i="10"/>
  <c r="H15" i="10"/>
  <c r="G15" i="10"/>
  <c r="Q15" i="10" s="1"/>
  <c r="F15" i="10"/>
  <c r="P15" i="10" s="1"/>
  <c r="B15" i="10"/>
  <c r="E15" i="10" s="1"/>
  <c r="O15" i="10" s="1"/>
  <c r="A15" i="10"/>
  <c r="P14" i="10"/>
  <c r="O14" i="10"/>
  <c r="H14" i="10"/>
  <c r="G14" i="10"/>
  <c r="Q14" i="10" s="1"/>
  <c r="E14" i="10"/>
  <c r="D14" i="10"/>
  <c r="N14" i="10" s="1"/>
  <c r="C14" i="10"/>
  <c r="I14" i="10" s="1"/>
  <c r="B14" i="10"/>
  <c r="F14" i="10" s="1"/>
  <c r="A14" i="10"/>
  <c r="Q13" i="10"/>
  <c r="H13" i="10"/>
  <c r="G13" i="10"/>
  <c r="F13" i="10"/>
  <c r="P13" i="10" s="1"/>
  <c r="B13" i="10"/>
  <c r="C13" i="10" s="1"/>
  <c r="A13" i="10"/>
  <c r="N12" i="10"/>
  <c r="M12" i="10"/>
  <c r="H12" i="10"/>
  <c r="G12" i="10"/>
  <c r="Q12" i="10" s="1"/>
  <c r="F12" i="10"/>
  <c r="P12" i="10" s="1"/>
  <c r="E12" i="10"/>
  <c r="O12" i="10" s="1"/>
  <c r="C12" i="10"/>
  <c r="I12" i="10" s="1"/>
  <c r="B12" i="10"/>
  <c r="D12" i="10" s="1"/>
  <c r="A12" i="10"/>
  <c r="O11" i="10"/>
  <c r="H11" i="10"/>
  <c r="G11" i="10"/>
  <c r="Q11" i="10" s="1"/>
  <c r="F11" i="10"/>
  <c r="P11" i="10" s="1"/>
  <c r="D11" i="10"/>
  <c r="N11" i="10" s="1"/>
  <c r="B11" i="10"/>
  <c r="E11" i="10" s="1"/>
  <c r="A11" i="10"/>
  <c r="O10" i="10"/>
  <c r="H10" i="10"/>
  <c r="G10" i="10"/>
  <c r="Q10" i="10" s="1"/>
  <c r="E10" i="10"/>
  <c r="D10" i="10"/>
  <c r="N10" i="10" s="1"/>
  <c r="C10" i="10"/>
  <c r="B10" i="10"/>
  <c r="F10" i="10" s="1"/>
  <c r="P10" i="10" s="1"/>
  <c r="A10" i="10"/>
  <c r="Q9" i="10"/>
  <c r="H9" i="10"/>
  <c r="G9" i="10"/>
  <c r="F9" i="10"/>
  <c r="P9" i="10" s="1"/>
  <c r="E9" i="10"/>
  <c r="O9" i="10" s="1"/>
  <c r="B9" i="10"/>
  <c r="C9" i="10" s="1"/>
  <c r="M9" i="10" s="1"/>
  <c r="A9" i="10"/>
  <c r="H8" i="10"/>
  <c r="G8" i="10"/>
  <c r="Q8" i="10" s="1"/>
  <c r="C8" i="10"/>
  <c r="B8" i="10"/>
  <c r="A8" i="10"/>
  <c r="O7" i="10"/>
  <c r="N7" i="10"/>
  <c r="H7" i="10"/>
  <c r="G7" i="10"/>
  <c r="Q7" i="10" s="1"/>
  <c r="F7" i="10"/>
  <c r="P7" i="10" s="1"/>
  <c r="D7" i="10"/>
  <c r="C7" i="10"/>
  <c r="B7" i="10"/>
  <c r="E7" i="10" s="1"/>
  <c r="A7" i="10"/>
  <c r="H6" i="10"/>
  <c r="G6" i="10"/>
  <c r="Q6" i="10" s="1"/>
  <c r="E6" i="10"/>
  <c r="O6" i="10" s="1"/>
  <c r="D6" i="10"/>
  <c r="N6" i="10" s="1"/>
  <c r="C6" i="10"/>
  <c r="B6" i="10"/>
  <c r="F6" i="10" s="1"/>
  <c r="P6" i="10" s="1"/>
  <c r="A6" i="10"/>
  <c r="Q5" i="10"/>
  <c r="M5" i="10"/>
  <c r="H5" i="10"/>
  <c r="G5" i="10"/>
  <c r="F5" i="10"/>
  <c r="P5" i="10" s="1"/>
  <c r="E5" i="10"/>
  <c r="O5" i="10" s="1"/>
  <c r="D5" i="10"/>
  <c r="I5" i="10" s="1"/>
  <c r="B5" i="10"/>
  <c r="C5" i="10" s="1"/>
  <c r="A5" i="10"/>
  <c r="Q45" i="9"/>
  <c r="H45" i="9"/>
  <c r="G45" i="9"/>
  <c r="B45" i="9"/>
  <c r="A45" i="9"/>
  <c r="O44" i="9"/>
  <c r="N44" i="9"/>
  <c r="H44" i="9"/>
  <c r="G44" i="9"/>
  <c r="Q44" i="9" s="1"/>
  <c r="F44" i="9"/>
  <c r="P44" i="9" s="1"/>
  <c r="E44" i="9"/>
  <c r="B44" i="9"/>
  <c r="D44" i="9" s="1"/>
  <c r="A44" i="9"/>
  <c r="H43" i="9"/>
  <c r="G43" i="9"/>
  <c r="Q43" i="9" s="1"/>
  <c r="B43" i="9"/>
  <c r="A43" i="9"/>
  <c r="P42" i="9"/>
  <c r="O42" i="9"/>
  <c r="H42" i="9"/>
  <c r="G42" i="9"/>
  <c r="Q42" i="9" s="1"/>
  <c r="E42" i="9"/>
  <c r="D42" i="9"/>
  <c r="N42" i="9" s="1"/>
  <c r="C42" i="9"/>
  <c r="I42" i="9" s="1"/>
  <c r="B42" i="9"/>
  <c r="F42" i="9" s="1"/>
  <c r="A42" i="9"/>
  <c r="Q41" i="9"/>
  <c r="H41" i="9"/>
  <c r="G41" i="9"/>
  <c r="B41" i="9"/>
  <c r="A41" i="9"/>
  <c r="N40" i="9"/>
  <c r="H40" i="9"/>
  <c r="G40" i="9"/>
  <c r="Q40" i="9" s="1"/>
  <c r="F40" i="9"/>
  <c r="P40" i="9" s="1"/>
  <c r="E40" i="9"/>
  <c r="O40" i="9" s="1"/>
  <c r="C40" i="9"/>
  <c r="M40" i="9" s="1"/>
  <c r="B40" i="9"/>
  <c r="D40" i="9" s="1"/>
  <c r="A40" i="9"/>
  <c r="O39" i="9"/>
  <c r="H39" i="9"/>
  <c r="G39" i="9"/>
  <c r="Q39" i="9" s="1"/>
  <c r="F39" i="9"/>
  <c r="P39" i="9" s="1"/>
  <c r="D39" i="9"/>
  <c r="N39" i="9" s="1"/>
  <c r="B39" i="9"/>
  <c r="E39" i="9" s="1"/>
  <c r="A39" i="9"/>
  <c r="Q38" i="9"/>
  <c r="O38" i="9"/>
  <c r="H38" i="9"/>
  <c r="G38" i="9"/>
  <c r="E38" i="9"/>
  <c r="D38" i="9"/>
  <c r="N38" i="9" s="1"/>
  <c r="C38" i="9"/>
  <c r="M38" i="9" s="1"/>
  <c r="B38" i="9"/>
  <c r="F38" i="9" s="1"/>
  <c r="P38" i="9" s="1"/>
  <c r="A38" i="9"/>
  <c r="Q37" i="9"/>
  <c r="H37" i="9"/>
  <c r="G37" i="9"/>
  <c r="F37" i="9"/>
  <c r="P37" i="9" s="1"/>
  <c r="B37" i="9"/>
  <c r="A37" i="9"/>
  <c r="Q36" i="9"/>
  <c r="H36" i="9"/>
  <c r="G36" i="9"/>
  <c r="C36" i="9"/>
  <c r="B36" i="9"/>
  <c r="A36" i="9"/>
  <c r="O35" i="9"/>
  <c r="N35" i="9"/>
  <c r="H35" i="9"/>
  <c r="G35" i="9"/>
  <c r="Q35" i="9" s="1"/>
  <c r="F35" i="9"/>
  <c r="P35" i="9" s="1"/>
  <c r="D35" i="9"/>
  <c r="C35" i="9"/>
  <c r="B35" i="9"/>
  <c r="E35" i="9" s="1"/>
  <c r="A35" i="9"/>
  <c r="P34" i="9"/>
  <c r="H34" i="9"/>
  <c r="G34" i="9"/>
  <c r="Q34" i="9" s="1"/>
  <c r="E34" i="9"/>
  <c r="O34" i="9" s="1"/>
  <c r="D34" i="9"/>
  <c r="N34" i="9" s="1"/>
  <c r="C34" i="9"/>
  <c r="I34" i="9" s="1"/>
  <c r="K34" i="9" s="1"/>
  <c r="B34" i="9"/>
  <c r="F34" i="9" s="1"/>
  <c r="A34" i="9"/>
  <c r="Q33" i="9"/>
  <c r="P33" i="9"/>
  <c r="M33" i="9"/>
  <c r="H33" i="9"/>
  <c r="G33" i="9"/>
  <c r="F33" i="9"/>
  <c r="E33" i="9"/>
  <c r="O33" i="9" s="1"/>
  <c r="D33" i="9"/>
  <c r="N33" i="9" s="1"/>
  <c r="B33" i="9"/>
  <c r="C33" i="9" s="1"/>
  <c r="A33" i="9"/>
  <c r="Q32" i="9"/>
  <c r="H32" i="9"/>
  <c r="G32" i="9"/>
  <c r="C32" i="9"/>
  <c r="M32" i="9" s="1"/>
  <c r="B32" i="9"/>
  <c r="A32" i="9"/>
  <c r="N31" i="9"/>
  <c r="H31" i="9"/>
  <c r="G31" i="9"/>
  <c r="Q31" i="9" s="1"/>
  <c r="D31" i="9"/>
  <c r="C31" i="9"/>
  <c r="B31" i="9"/>
  <c r="A31" i="9"/>
  <c r="H30" i="9"/>
  <c r="G30" i="9"/>
  <c r="Q30" i="9" s="1"/>
  <c r="E30" i="9"/>
  <c r="O30" i="9" s="1"/>
  <c r="D30" i="9"/>
  <c r="N30" i="9" s="1"/>
  <c r="C30" i="9"/>
  <c r="M30" i="9" s="1"/>
  <c r="B30" i="9"/>
  <c r="F30" i="9" s="1"/>
  <c r="P30" i="9" s="1"/>
  <c r="A30" i="9"/>
  <c r="Q29" i="9"/>
  <c r="H29" i="9"/>
  <c r="G29" i="9"/>
  <c r="E29" i="9"/>
  <c r="O29" i="9" s="1"/>
  <c r="D29" i="9"/>
  <c r="N29" i="9" s="1"/>
  <c r="B29" i="9"/>
  <c r="A29" i="9"/>
  <c r="H28" i="9"/>
  <c r="G28" i="9"/>
  <c r="Q28" i="9" s="1"/>
  <c r="F28" i="9"/>
  <c r="P28" i="9" s="1"/>
  <c r="E28" i="9"/>
  <c r="O28" i="9" s="1"/>
  <c r="B28" i="9"/>
  <c r="A28" i="9"/>
  <c r="H27" i="9"/>
  <c r="G27" i="9"/>
  <c r="Q27" i="9" s="1"/>
  <c r="C27" i="9"/>
  <c r="B27" i="9"/>
  <c r="A27" i="9"/>
  <c r="P26" i="9"/>
  <c r="O26" i="9"/>
  <c r="H26" i="9"/>
  <c r="G26" i="9"/>
  <c r="Q26" i="9" s="1"/>
  <c r="E26" i="9"/>
  <c r="D26" i="9"/>
  <c r="N26" i="9" s="1"/>
  <c r="C26" i="9"/>
  <c r="I26" i="9" s="1"/>
  <c r="B26" i="9"/>
  <c r="F26" i="9" s="1"/>
  <c r="A26" i="9"/>
  <c r="Q25" i="9"/>
  <c r="H25" i="9"/>
  <c r="G25" i="9"/>
  <c r="B25" i="9"/>
  <c r="F25" i="9" s="1"/>
  <c r="P25" i="9" s="1"/>
  <c r="A25" i="9"/>
  <c r="N24" i="9"/>
  <c r="M24" i="9"/>
  <c r="H24" i="9"/>
  <c r="G24" i="9"/>
  <c r="Q24" i="9" s="1"/>
  <c r="F24" i="9"/>
  <c r="P24" i="9" s="1"/>
  <c r="E24" i="9"/>
  <c r="O24" i="9" s="1"/>
  <c r="C24" i="9"/>
  <c r="B24" i="9"/>
  <c r="D24" i="9" s="1"/>
  <c r="A24" i="9"/>
  <c r="P23" i="9"/>
  <c r="H23" i="9"/>
  <c r="G23" i="9"/>
  <c r="Q23" i="9" s="1"/>
  <c r="F23" i="9"/>
  <c r="D23" i="9"/>
  <c r="N23" i="9" s="1"/>
  <c r="B23" i="9"/>
  <c r="A23" i="9"/>
  <c r="Q22" i="9"/>
  <c r="O22" i="9"/>
  <c r="H22" i="9"/>
  <c r="G22" i="9"/>
  <c r="E22" i="9"/>
  <c r="D22" i="9"/>
  <c r="N22" i="9" s="1"/>
  <c r="C22" i="9"/>
  <c r="M22" i="9" s="1"/>
  <c r="B22" i="9"/>
  <c r="F22" i="9" s="1"/>
  <c r="P22" i="9" s="1"/>
  <c r="A22" i="9"/>
  <c r="Q21" i="9"/>
  <c r="P21" i="9"/>
  <c r="H21" i="9"/>
  <c r="G21" i="9"/>
  <c r="F21" i="9"/>
  <c r="E21" i="9"/>
  <c r="O21" i="9" s="1"/>
  <c r="B21" i="9"/>
  <c r="A21" i="9"/>
  <c r="Q20" i="9"/>
  <c r="H20" i="9"/>
  <c r="G20" i="9"/>
  <c r="E20" i="9"/>
  <c r="O20" i="9" s="1"/>
  <c r="B20" i="9"/>
  <c r="A20" i="9"/>
  <c r="P19" i="9"/>
  <c r="O19" i="9"/>
  <c r="H19" i="9"/>
  <c r="G19" i="9"/>
  <c r="Q19" i="9" s="1"/>
  <c r="F19" i="9"/>
  <c r="D19" i="9"/>
  <c r="N19" i="9" s="1"/>
  <c r="C19" i="9"/>
  <c r="B19" i="9"/>
  <c r="E19" i="9" s="1"/>
  <c r="A19" i="9"/>
  <c r="Q18" i="9"/>
  <c r="H18" i="9"/>
  <c r="G18" i="9"/>
  <c r="E18" i="9"/>
  <c r="O18" i="9" s="1"/>
  <c r="D18" i="9"/>
  <c r="N18" i="9" s="1"/>
  <c r="C18" i="9"/>
  <c r="M18" i="9" s="1"/>
  <c r="B18" i="9"/>
  <c r="F18" i="9" s="1"/>
  <c r="P18" i="9" s="1"/>
  <c r="A18" i="9"/>
  <c r="Q17" i="9"/>
  <c r="M17" i="9"/>
  <c r="H17" i="9"/>
  <c r="G17" i="9"/>
  <c r="F17" i="9"/>
  <c r="P17" i="9" s="1"/>
  <c r="E17" i="9"/>
  <c r="O17" i="9" s="1"/>
  <c r="D17" i="9"/>
  <c r="I17" i="9" s="1"/>
  <c r="B17" i="9"/>
  <c r="C17" i="9" s="1"/>
  <c r="A17" i="9"/>
  <c r="Q16" i="9"/>
  <c r="H16" i="9"/>
  <c r="G16" i="9"/>
  <c r="F16" i="9"/>
  <c r="P16" i="9" s="1"/>
  <c r="C16" i="9"/>
  <c r="B16" i="9"/>
  <c r="A16" i="9"/>
  <c r="H15" i="9"/>
  <c r="G15" i="9"/>
  <c r="Q15" i="9" s="1"/>
  <c r="B15" i="9"/>
  <c r="D15" i="9" s="1"/>
  <c r="N15" i="9" s="1"/>
  <c r="A15" i="9"/>
  <c r="O14" i="9"/>
  <c r="H14" i="9"/>
  <c r="G14" i="9"/>
  <c r="Q14" i="9" s="1"/>
  <c r="E14" i="9"/>
  <c r="D14" i="9"/>
  <c r="N14" i="9" s="1"/>
  <c r="C14" i="9"/>
  <c r="M14" i="9" s="1"/>
  <c r="B14" i="9"/>
  <c r="F14" i="9" s="1"/>
  <c r="P14" i="9" s="1"/>
  <c r="A14" i="9"/>
  <c r="Q13" i="9"/>
  <c r="H13" i="9"/>
  <c r="G13" i="9"/>
  <c r="B13" i="9"/>
  <c r="E13" i="9" s="1"/>
  <c r="O13" i="9" s="1"/>
  <c r="A13" i="9"/>
  <c r="H12" i="9"/>
  <c r="G12" i="9"/>
  <c r="Q12" i="9" s="1"/>
  <c r="B12" i="9"/>
  <c r="F12" i="9" s="1"/>
  <c r="P12" i="9" s="1"/>
  <c r="A12" i="9"/>
  <c r="H11" i="9"/>
  <c r="G11" i="9"/>
  <c r="Q11" i="9" s="1"/>
  <c r="F11" i="9"/>
  <c r="P11" i="9" s="1"/>
  <c r="C11" i="9"/>
  <c r="B11" i="9"/>
  <c r="A11" i="9"/>
  <c r="P10" i="9"/>
  <c r="O10" i="9"/>
  <c r="H10" i="9"/>
  <c r="G10" i="9"/>
  <c r="Q10" i="9" s="1"/>
  <c r="E10" i="9"/>
  <c r="D10" i="9"/>
  <c r="N10" i="9" s="1"/>
  <c r="C10" i="9"/>
  <c r="M10" i="9" s="1"/>
  <c r="B10" i="9"/>
  <c r="F10" i="9" s="1"/>
  <c r="A10" i="9"/>
  <c r="Q9" i="9"/>
  <c r="H9" i="9"/>
  <c r="G9" i="9"/>
  <c r="D9" i="9"/>
  <c r="N9" i="9" s="1"/>
  <c r="B9" i="9"/>
  <c r="A9" i="9"/>
  <c r="N8" i="9"/>
  <c r="H8" i="9"/>
  <c r="G8" i="9"/>
  <c r="Q8" i="9" s="1"/>
  <c r="F8" i="9"/>
  <c r="P8" i="9" s="1"/>
  <c r="E8" i="9"/>
  <c r="O8" i="9" s="1"/>
  <c r="C8" i="9"/>
  <c r="I8" i="9" s="1"/>
  <c r="B8" i="9"/>
  <c r="D8" i="9" s="1"/>
  <c r="A8" i="9"/>
  <c r="H7" i="9"/>
  <c r="G7" i="9"/>
  <c r="Q7" i="9" s="1"/>
  <c r="B7" i="9"/>
  <c r="F7" i="9" s="1"/>
  <c r="P7" i="9" s="1"/>
  <c r="A7" i="9"/>
  <c r="O6" i="9"/>
  <c r="M6" i="9"/>
  <c r="H6" i="9"/>
  <c r="H47" i="9" s="1"/>
  <c r="C7" i="18" s="1"/>
  <c r="G6" i="9"/>
  <c r="Q6" i="9" s="1"/>
  <c r="E6" i="9"/>
  <c r="D6" i="9"/>
  <c r="N6" i="9" s="1"/>
  <c r="C6" i="9"/>
  <c r="B6" i="9"/>
  <c r="F6" i="9" s="1"/>
  <c r="P6" i="9" s="1"/>
  <c r="A6" i="9"/>
  <c r="Q5" i="9"/>
  <c r="H5" i="9"/>
  <c r="G5" i="9"/>
  <c r="B5" i="9"/>
  <c r="F5" i="9" s="1"/>
  <c r="P5" i="9" s="1"/>
  <c r="A5" i="9"/>
  <c r="H45" i="8"/>
  <c r="G45" i="8"/>
  <c r="Q45" i="8" s="1"/>
  <c r="C45" i="8"/>
  <c r="B45" i="8"/>
  <c r="D45" i="8" s="1"/>
  <c r="N45" i="8" s="1"/>
  <c r="A45" i="8"/>
  <c r="O44" i="8"/>
  <c r="H44" i="8"/>
  <c r="G44" i="8"/>
  <c r="Q44" i="8" s="1"/>
  <c r="D44" i="8"/>
  <c r="N44" i="8" s="1"/>
  <c r="C44" i="8"/>
  <c r="B44" i="8"/>
  <c r="E44" i="8" s="1"/>
  <c r="A44" i="8"/>
  <c r="H43" i="8"/>
  <c r="G43" i="8"/>
  <c r="Q43" i="8" s="1"/>
  <c r="E43" i="8"/>
  <c r="O43" i="8" s="1"/>
  <c r="D43" i="8"/>
  <c r="N43" i="8" s="1"/>
  <c r="C43" i="8"/>
  <c r="M43" i="8" s="1"/>
  <c r="B43" i="8"/>
  <c r="F43" i="8" s="1"/>
  <c r="P43" i="8" s="1"/>
  <c r="A43" i="8"/>
  <c r="Q42" i="8"/>
  <c r="N42" i="8"/>
  <c r="M42" i="8"/>
  <c r="H42" i="8"/>
  <c r="G42" i="8"/>
  <c r="E42" i="8"/>
  <c r="O42" i="8" s="1"/>
  <c r="D42" i="8"/>
  <c r="B42" i="8"/>
  <c r="C42" i="8" s="1"/>
  <c r="A42" i="8"/>
  <c r="H41" i="8"/>
  <c r="G41" i="8"/>
  <c r="Q41" i="8" s="1"/>
  <c r="B41" i="8"/>
  <c r="A41" i="8"/>
  <c r="H40" i="8"/>
  <c r="G40" i="8"/>
  <c r="Q40" i="8" s="1"/>
  <c r="C40" i="8"/>
  <c r="B40" i="8"/>
  <c r="E40" i="8" s="1"/>
  <c r="O40" i="8" s="1"/>
  <c r="A40" i="8"/>
  <c r="P39" i="8"/>
  <c r="H39" i="8"/>
  <c r="G39" i="8"/>
  <c r="Q39" i="8" s="1"/>
  <c r="E39" i="8"/>
  <c r="O39" i="8" s="1"/>
  <c r="D39" i="8"/>
  <c r="N39" i="8" s="1"/>
  <c r="C39" i="8"/>
  <c r="M39" i="8" s="1"/>
  <c r="B39" i="8"/>
  <c r="F39" i="8" s="1"/>
  <c r="A39" i="8"/>
  <c r="Q38" i="8"/>
  <c r="M38" i="8"/>
  <c r="H38" i="8"/>
  <c r="G38" i="8"/>
  <c r="D38" i="8"/>
  <c r="N38" i="8" s="1"/>
  <c r="B38" i="8"/>
  <c r="C38" i="8" s="1"/>
  <c r="A38" i="8"/>
  <c r="O37" i="8"/>
  <c r="N37" i="8"/>
  <c r="H37" i="8"/>
  <c r="G37" i="8"/>
  <c r="Q37" i="8" s="1"/>
  <c r="F37" i="8"/>
  <c r="P37" i="8" s="1"/>
  <c r="E37" i="8"/>
  <c r="C37" i="8"/>
  <c r="M37" i="8" s="1"/>
  <c r="B37" i="8"/>
  <c r="D37" i="8" s="1"/>
  <c r="A37" i="8"/>
  <c r="H36" i="8"/>
  <c r="G36" i="8"/>
  <c r="Q36" i="8" s="1"/>
  <c r="B36" i="8"/>
  <c r="A36" i="8"/>
  <c r="O35" i="8"/>
  <c r="H35" i="8"/>
  <c r="G35" i="8"/>
  <c r="Q35" i="8" s="1"/>
  <c r="E35" i="8"/>
  <c r="D35" i="8"/>
  <c r="N35" i="8" s="1"/>
  <c r="C35" i="8"/>
  <c r="M35" i="8" s="1"/>
  <c r="B35" i="8"/>
  <c r="F35" i="8" s="1"/>
  <c r="P35" i="8" s="1"/>
  <c r="A35" i="8"/>
  <c r="Q34" i="8"/>
  <c r="H34" i="8"/>
  <c r="G34" i="8"/>
  <c r="B34" i="8"/>
  <c r="A34" i="8"/>
  <c r="N33" i="8"/>
  <c r="H33" i="8"/>
  <c r="G33" i="8"/>
  <c r="Q33" i="8" s="1"/>
  <c r="E33" i="8"/>
  <c r="O33" i="8" s="1"/>
  <c r="C33" i="8"/>
  <c r="M33" i="8" s="1"/>
  <c r="B33" i="8"/>
  <c r="D33" i="8" s="1"/>
  <c r="A33" i="8"/>
  <c r="O32" i="8"/>
  <c r="H32" i="8"/>
  <c r="G32" i="8"/>
  <c r="Q32" i="8" s="1"/>
  <c r="F32" i="8"/>
  <c r="P32" i="8" s="1"/>
  <c r="D32" i="8"/>
  <c r="N32" i="8" s="1"/>
  <c r="C32" i="8"/>
  <c r="B32" i="8"/>
  <c r="E32" i="8" s="1"/>
  <c r="A32" i="8"/>
  <c r="H31" i="8"/>
  <c r="G31" i="8"/>
  <c r="Q31" i="8" s="1"/>
  <c r="E31" i="8"/>
  <c r="O31" i="8" s="1"/>
  <c r="D31" i="8"/>
  <c r="N31" i="8" s="1"/>
  <c r="C31" i="8"/>
  <c r="M31" i="8" s="1"/>
  <c r="B31" i="8"/>
  <c r="F31" i="8" s="1"/>
  <c r="P31" i="8" s="1"/>
  <c r="A31" i="8"/>
  <c r="Q30" i="8"/>
  <c r="P30" i="8"/>
  <c r="N30" i="8"/>
  <c r="M30" i="8"/>
  <c r="H30" i="8"/>
  <c r="G30" i="8"/>
  <c r="F30" i="8"/>
  <c r="E30" i="8"/>
  <c r="O30" i="8" s="1"/>
  <c r="D30" i="8"/>
  <c r="B30" i="8"/>
  <c r="C30" i="8" s="1"/>
  <c r="A30" i="8"/>
  <c r="H29" i="8"/>
  <c r="G29" i="8"/>
  <c r="Q29" i="8" s="1"/>
  <c r="C29" i="8"/>
  <c r="B29" i="8"/>
  <c r="A29" i="8"/>
  <c r="O28" i="8"/>
  <c r="H28" i="8"/>
  <c r="G28" i="8"/>
  <c r="Q28" i="8" s="1"/>
  <c r="D28" i="8"/>
  <c r="N28" i="8" s="1"/>
  <c r="C28" i="8"/>
  <c r="B28" i="8"/>
  <c r="E28" i="8" s="1"/>
  <c r="A28" i="8"/>
  <c r="Q27" i="8"/>
  <c r="H27" i="8"/>
  <c r="G27" i="8"/>
  <c r="E27" i="8"/>
  <c r="O27" i="8" s="1"/>
  <c r="D27" i="8"/>
  <c r="N27" i="8" s="1"/>
  <c r="C27" i="8"/>
  <c r="M27" i="8" s="1"/>
  <c r="B27" i="8"/>
  <c r="F27" i="8" s="1"/>
  <c r="P27" i="8" s="1"/>
  <c r="A27" i="8"/>
  <c r="Q26" i="8"/>
  <c r="H26" i="8"/>
  <c r="G26" i="8"/>
  <c r="E26" i="8"/>
  <c r="O26" i="8" s="1"/>
  <c r="D26" i="8"/>
  <c r="N26" i="8" s="1"/>
  <c r="B26" i="8"/>
  <c r="A26" i="8"/>
  <c r="Q25" i="8"/>
  <c r="H25" i="8"/>
  <c r="G25" i="8"/>
  <c r="F25" i="8"/>
  <c r="P25" i="8" s="1"/>
  <c r="E25" i="8"/>
  <c r="O25" i="8" s="1"/>
  <c r="B25" i="8"/>
  <c r="A25" i="8"/>
  <c r="H24" i="8"/>
  <c r="G24" i="8"/>
  <c r="Q24" i="8" s="1"/>
  <c r="B24" i="8"/>
  <c r="A24" i="8"/>
  <c r="P23" i="8"/>
  <c r="M23" i="8"/>
  <c r="H23" i="8"/>
  <c r="G23" i="8"/>
  <c r="Q23" i="8" s="1"/>
  <c r="E23" i="8"/>
  <c r="O23" i="8" s="1"/>
  <c r="D23" i="8"/>
  <c r="N23" i="8" s="1"/>
  <c r="C23" i="8"/>
  <c r="I23" i="8" s="1"/>
  <c r="B23" i="8"/>
  <c r="F23" i="8" s="1"/>
  <c r="A23" i="8"/>
  <c r="Q22" i="8"/>
  <c r="H22" i="8"/>
  <c r="G22" i="8"/>
  <c r="F22" i="8"/>
  <c r="P22" i="8" s="1"/>
  <c r="B22" i="8"/>
  <c r="A22" i="8"/>
  <c r="N21" i="8"/>
  <c r="M21" i="8"/>
  <c r="H21" i="8"/>
  <c r="G21" i="8"/>
  <c r="Q21" i="8" s="1"/>
  <c r="F21" i="8"/>
  <c r="P21" i="8" s="1"/>
  <c r="E21" i="8"/>
  <c r="O21" i="8" s="1"/>
  <c r="C21" i="8"/>
  <c r="B21" i="8"/>
  <c r="D21" i="8" s="1"/>
  <c r="A21" i="8"/>
  <c r="H20" i="8"/>
  <c r="G20" i="8"/>
  <c r="Q20" i="8" s="1"/>
  <c r="F20" i="8"/>
  <c r="P20" i="8" s="1"/>
  <c r="D20" i="8"/>
  <c r="N20" i="8" s="1"/>
  <c r="B20" i="8"/>
  <c r="E20" i="8" s="1"/>
  <c r="O20" i="8" s="1"/>
  <c r="A20" i="8"/>
  <c r="O19" i="8"/>
  <c r="H19" i="8"/>
  <c r="G19" i="8"/>
  <c r="Q19" i="8" s="1"/>
  <c r="E19" i="8"/>
  <c r="D19" i="8"/>
  <c r="N19" i="8" s="1"/>
  <c r="C19" i="8"/>
  <c r="I19" i="8" s="1"/>
  <c r="B19" i="8"/>
  <c r="F19" i="8" s="1"/>
  <c r="P19" i="8" s="1"/>
  <c r="A19" i="8"/>
  <c r="Q18" i="8"/>
  <c r="H18" i="8"/>
  <c r="G18" i="8"/>
  <c r="F18" i="8"/>
  <c r="P18" i="8" s="1"/>
  <c r="E18" i="8"/>
  <c r="O18" i="8" s="1"/>
  <c r="B18" i="8"/>
  <c r="C18" i="8" s="1"/>
  <c r="M18" i="8" s="1"/>
  <c r="A18" i="8"/>
  <c r="H17" i="8"/>
  <c r="G17" i="8"/>
  <c r="Q17" i="8" s="1"/>
  <c r="C17" i="8"/>
  <c r="B17" i="8"/>
  <c r="D17" i="8" s="1"/>
  <c r="N17" i="8" s="1"/>
  <c r="A17" i="8"/>
  <c r="O16" i="8"/>
  <c r="H16" i="8"/>
  <c r="G16" i="8"/>
  <c r="Q16" i="8" s="1"/>
  <c r="F16" i="8"/>
  <c r="P16" i="8" s="1"/>
  <c r="D16" i="8"/>
  <c r="N16" i="8" s="1"/>
  <c r="C16" i="8"/>
  <c r="B16" i="8"/>
  <c r="E16" i="8" s="1"/>
  <c r="A16" i="8"/>
  <c r="H15" i="8"/>
  <c r="G15" i="8"/>
  <c r="Q15" i="8" s="1"/>
  <c r="E15" i="8"/>
  <c r="O15" i="8" s="1"/>
  <c r="D15" i="8"/>
  <c r="N15" i="8" s="1"/>
  <c r="C15" i="8"/>
  <c r="I15" i="8" s="1"/>
  <c r="B15" i="8"/>
  <c r="F15" i="8" s="1"/>
  <c r="P15" i="8" s="1"/>
  <c r="A15" i="8"/>
  <c r="Q14" i="8"/>
  <c r="N14" i="8"/>
  <c r="M14" i="8"/>
  <c r="H14" i="8"/>
  <c r="G14" i="8"/>
  <c r="F14" i="8"/>
  <c r="P14" i="8" s="1"/>
  <c r="E14" i="8"/>
  <c r="O14" i="8" s="1"/>
  <c r="D14" i="8"/>
  <c r="B14" i="8"/>
  <c r="C14" i="8" s="1"/>
  <c r="A14" i="8"/>
  <c r="H13" i="8"/>
  <c r="G13" i="8"/>
  <c r="Q13" i="8" s="1"/>
  <c r="B13" i="8"/>
  <c r="D13" i="8" s="1"/>
  <c r="N13" i="8" s="1"/>
  <c r="A13" i="8"/>
  <c r="H12" i="8"/>
  <c r="G12" i="8"/>
  <c r="Q12" i="8" s="1"/>
  <c r="C12" i="8"/>
  <c r="B12" i="8"/>
  <c r="E12" i="8" s="1"/>
  <c r="O12" i="8" s="1"/>
  <c r="A12" i="8"/>
  <c r="P11" i="8"/>
  <c r="H11" i="8"/>
  <c r="G11" i="8"/>
  <c r="Q11" i="8" s="1"/>
  <c r="E11" i="8"/>
  <c r="O11" i="8" s="1"/>
  <c r="D11" i="8"/>
  <c r="N11" i="8" s="1"/>
  <c r="C11" i="8"/>
  <c r="M11" i="8" s="1"/>
  <c r="B11" i="8"/>
  <c r="F11" i="8" s="1"/>
  <c r="A11" i="8"/>
  <c r="Q10" i="8"/>
  <c r="M10" i="8"/>
  <c r="H10" i="8"/>
  <c r="G10" i="8"/>
  <c r="D10" i="8"/>
  <c r="N10" i="8" s="1"/>
  <c r="B10" i="8"/>
  <c r="C10" i="8" s="1"/>
  <c r="A10" i="8"/>
  <c r="O9" i="8"/>
  <c r="N9" i="8"/>
  <c r="H9" i="8"/>
  <c r="G9" i="8"/>
  <c r="Q9" i="8" s="1"/>
  <c r="F9" i="8"/>
  <c r="P9" i="8" s="1"/>
  <c r="E9" i="8"/>
  <c r="B9" i="8"/>
  <c r="D9" i="8" s="1"/>
  <c r="A9" i="8"/>
  <c r="H8" i="8"/>
  <c r="G8" i="8"/>
  <c r="Q8" i="8" s="1"/>
  <c r="B8" i="8"/>
  <c r="E8" i="8" s="1"/>
  <c r="O8" i="8" s="1"/>
  <c r="A8" i="8"/>
  <c r="P7" i="8"/>
  <c r="O7" i="8"/>
  <c r="H7" i="8"/>
  <c r="G7" i="8"/>
  <c r="Q7" i="8" s="1"/>
  <c r="E7" i="8"/>
  <c r="D7" i="8"/>
  <c r="N7" i="8" s="1"/>
  <c r="C7" i="8"/>
  <c r="M7" i="8" s="1"/>
  <c r="B7" i="8"/>
  <c r="F7" i="8" s="1"/>
  <c r="A7" i="8"/>
  <c r="Q6" i="8"/>
  <c r="H6" i="8"/>
  <c r="G6" i="8"/>
  <c r="B6" i="8"/>
  <c r="C6" i="8" s="1"/>
  <c r="A6" i="8"/>
  <c r="N5" i="8"/>
  <c r="H5" i="8"/>
  <c r="G5" i="8"/>
  <c r="Q5" i="8" s="1"/>
  <c r="F5" i="8"/>
  <c r="P5" i="8" s="1"/>
  <c r="E5" i="8"/>
  <c r="O5" i="8" s="1"/>
  <c r="C5" i="8"/>
  <c r="M5" i="8" s="1"/>
  <c r="B5" i="8"/>
  <c r="D5" i="8" s="1"/>
  <c r="A5" i="8"/>
  <c r="H45" i="7"/>
  <c r="C45" i="7"/>
  <c r="B45" i="7"/>
  <c r="D45" i="7" s="1"/>
  <c r="N45" i="7" s="1"/>
  <c r="A45" i="7"/>
  <c r="O44" i="7"/>
  <c r="H44" i="7"/>
  <c r="F44" i="7"/>
  <c r="P44" i="7" s="1"/>
  <c r="D44" i="7"/>
  <c r="N44" i="7" s="1"/>
  <c r="C44" i="7"/>
  <c r="B44" i="7"/>
  <c r="E44" i="7" s="1"/>
  <c r="A44" i="7"/>
  <c r="H43" i="7"/>
  <c r="G43" i="7"/>
  <c r="Q43" i="7" s="1"/>
  <c r="E43" i="7"/>
  <c r="O43" i="7" s="1"/>
  <c r="D43" i="7"/>
  <c r="N43" i="7" s="1"/>
  <c r="C43" i="7"/>
  <c r="I43" i="7" s="1"/>
  <c r="B43" i="7"/>
  <c r="F43" i="7" s="1"/>
  <c r="P43" i="7" s="1"/>
  <c r="A43" i="7"/>
  <c r="H42" i="7"/>
  <c r="D42" i="7"/>
  <c r="N42" i="7" s="1"/>
  <c r="B42" i="7"/>
  <c r="A42" i="7"/>
  <c r="O41" i="7"/>
  <c r="N41" i="7"/>
  <c r="H41" i="7"/>
  <c r="F41" i="7"/>
  <c r="P41" i="7" s="1"/>
  <c r="E41" i="7"/>
  <c r="B41" i="7"/>
  <c r="D41" i="7" s="1"/>
  <c r="A41" i="7"/>
  <c r="H40" i="7"/>
  <c r="B40" i="7"/>
  <c r="E40" i="7" s="1"/>
  <c r="O40" i="7" s="1"/>
  <c r="A40" i="7"/>
  <c r="P39" i="7"/>
  <c r="O39" i="7"/>
  <c r="H39" i="7"/>
  <c r="G39" i="7"/>
  <c r="Q39" i="7" s="1"/>
  <c r="E39" i="7"/>
  <c r="D39" i="7"/>
  <c r="N39" i="7" s="1"/>
  <c r="C39" i="7"/>
  <c r="M39" i="7" s="1"/>
  <c r="B39" i="7"/>
  <c r="F39" i="7" s="1"/>
  <c r="A39" i="7"/>
  <c r="H38" i="7"/>
  <c r="F38" i="7"/>
  <c r="P38" i="7" s="1"/>
  <c r="E38" i="7"/>
  <c r="O38" i="7" s="1"/>
  <c r="B38" i="7"/>
  <c r="A38" i="7"/>
  <c r="H37" i="7"/>
  <c r="C37" i="7"/>
  <c r="B37" i="7"/>
  <c r="D37" i="7" s="1"/>
  <c r="N37" i="7" s="1"/>
  <c r="A37" i="7"/>
  <c r="O36" i="7"/>
  <c r="H36" i="7"/>
  <c r="F36" i="7"/>
  <c r="P36" i="7" s="1"/>
  <c r="D36" i="7"/>
  <c r="N36" i="7" s="1"/>
  <c r="C36" i="7"/>
  <c r="B36" i="7"/>
  <c r="E36" i="7" s="1"/>
  <c r="A36" i="7"/>
  <c r="H35" i="7"/>
  <c r="G35" i="7"/>
  <c r="Q35" i="7" s="1"/>
  <c r="E35" i="7"/>
  <c r="O35" i="7" s="1"/>
  <c r="D35" i="7"/>
  <c r="N35" i="7" s="1"/>
  <c r="C35" i="7"/>
  <c r="I35" i="7" s="1"/>
  <c r="B35" i="7"/>
  <c r="F35" i="7" s="1"/>
  <c r="P35" i="7" s="1"/>
  <c r="A35" i="7"/>
  <c r="H34" i="7"/>
  <c r="D34" i="7"/>
  <c r="N34" i="7" s="1"/>
  <c r="B34" i="7"/>
  <c r="A34" i="7"/>
  <c r="O33" i="7"/>
  <c r="N33" i="7"/>
  <c r="H33" i="7"/>
  <c r="F33" i="7"/>
  <c r="P33" i="7" s="1"/>
  <c r="E33" i="7"/>
  <c r="B33" i="7"/>
  <c r="D33" i="7" s="1"/>
  <c r="A33" i="7"/>
  <c r="H32" i="7"/>
  <c r="B32" i="7"/>
  <c r="E32" i="7" s="1"/>
  <c r="O32" i="7" s="1"/>
  <c r="A32" i="7"/>
  <c r="P31" i="7"/>
  <c r="O31" i="7"/>
  <c r="H31" i="7"/>
  <c r="G31" i="7"/>
  <c r="Q31" i="7" s="1"/>
  <c r="E31" i="7"/>
  <c r="D31" i="7"/>
  <c r="N31" i="7" s="1"/>
  <c r="C31" i="7"/>
  <c r="M31" i="7" s="1"/>
  <c r="B31" i="7"/>
  <c r="F31" i="7" s="1"/>
  <c r="A31" i="7"/>
  <c r="H30" i="7"/>
  <c r="F30" i="7"/>
  <c r="P30" i="7" s="1"/>
  <c r="E30" i="7"/>
  <c r="O30" i="7" s="1"/>
  <c r="B30" i="7"/>
  <c r="A30" i="7"/>
  <c r="H29" i="7"/>
  <c r="C29" i="7"/>
  <c r="B29" i="7"/>
  <c r="D29" i="7" s="1"/>
  <c r="N29" i="7" s="1"/>
  <c r="A29" i="7"/>
  <c r="O28" i="7"/>
  <c r="H28" i="7"/>
  <c r="F28" i="7"/>
  <c r="P28" i="7" s="1"/>
  <c r="D28" i="7"/>
  <c r="N28" i="7" s="1"/>
  <c r="C28" i="7"/>
  <c r="B28" i="7"/>
  <c r="E28" i="7" s="1"/>
  <c r="A28" i="7"/>
  <c r="H27" i="7"/>
  <c r="G27" i="7"/>
  <c r="Q27" i="7" s="1"/>
  <c r="E27" i="7"/>
  <c r="O27" i="7" s="1"/>
  <c r="D27" i="7"/>
  <c r="N27" i="7" s="1"/>
  <c r="C27" i="7"/>
  <c r="I27" i="7" s="1"/>
  <c r="B27" i="7"/>
  <c r="F27" i="7" s="1"/>
  <c r="P27" i="7" s="1"/>
  <c r="A27" i="7"/>
  <c r="H26" i="7"/>
  <c r="D26" i="7"/>
  <c r="N26" i="7" s="1"/>
  <c r="B26" i="7"/>
  <c r="A26" i="7"/>
  <c r="O25" i="7"/>
  <c r="N25" i="7"/>
  <c r="H25" i="7"/>
  <c r="F25" i="7"/>
  <c r="P25" i="7" s="1"/>
  <c r="E25" i="7"/>
  <c r="B25" i="7"/>
  <c r="D25" i="7" s="1"/>
  <c r="A25" i="7"/>
  <c r="H24" i="7"/>
  <c r="B24" i="7"/>
  <c r="E24" i="7" s="1"/>
  <c r="O24" i="7" s="1"/>
  <c r="A24" i="7"/>
  <c r="P23" i="7"/>
  <c r="O23" i="7"/>
  <c r="H23" i="7"/>
  <c r="G23" i="7"/>
  <c r="Q23" i="7" s="1"/>
  <c r="E23" i="7"/>
  <c r="D23" i="7"/>
  <c r="N23" i="7" s="1"/>
  <c r="C23" i="7"/>
  <c r="M23" i="7" s="1"/>
  <c r="B23" i="7"/>
  <c r="F23" i="7" s="1"/>
  <c r="A23" i="7"/>
  <c r="H22" i="7"/>
  <c r="F22" i="7"/>
  <c r="P22" i="7" s="1"/>
  <c r="E22" i="7"/>
  <c r="O22" i="7" s="1"/>
  <c r="B22" i="7"/>
  <c r="A22" i="7"/>
  <c r="H21" i="7"/>
  <c r="C21" i="7"/>
  <c r="B21" i="7"/>
  <c r="D21" i="7" s="1"/>
  <c r="N21" i="7" s="1"/>
  <c r="A21" i="7"/>
  <c r="O20" i="7"/>
  <c r="H20" i="7"/>
  <c r="F20" i="7"/>
  <c r="P20" i="7" s="1"/>
  <c r="D20" i="7"/>
  <c r="N20" i="7" s="1"/>
  <c r="C20" i="7"/>
  <c r="B20" i="7"/>
  <c r="E20" i="7" s="1"/>
  <c r="A20" i="7"/>
  <c r="H19" i="7"/>
  <c r="G19" i="7"/>
  <c r="Q19" i="7" s="1"/>
  <c r="E19" i="7"/>
  <c r="O19" i="7" s="1"/>
  <c r="D19" i="7"/>
  <c r="N19" i="7" s="1"/>
  <c r="C19" i="7"/>
  <c r="I19" i="7" s="1"/>
  <c r="B19" i="7"/>
  <c r="F19" i="7" s="1"/>
  <c r="P19" i="7" s="1"/>
  <c r="A19" i="7"/>
  <c r="H18" i="7"/>
  <c r="D18" i="7"/>
  <c r="N18" i="7" s="1"/>
  <c r="B18" i="7"/>
  <c r="A18" i="7"/>
  <c r="O17" i="7"/>
  <c r="N17" i="7"/>
  <c r="H17" i="7"/>
  <c r="F17" i="7"/>
  <c r="P17" i="7" s="1"/>
  <c r="E17" i="7"/>
  <c r="B17" i="7"/>
  <c r="D17" i="7" s="1"/>
  <c r="A17" i="7"/>
  <c r="H16" i="7"/>
  <c r="B16" i="7"/>
  <c r="E16" i="7" s="1"/>
  <c r="O16" i="7" s="1"/>
  <c r="A16" i="7"/>
  <c r="P15" i="7"/>
  <c r="O15" i="7"/>
  <c r="H15" i="7"/>
  <c r="G15" i="7"/>
  <c r="Q15" i="7" s="1"/>
  <c r="E15" i="7"/>
  <c r="D15" i="7"/>
  <c r="N15" i="7" s="1"/>
  <c r="C15" i="7"/>
  <c r="M15" i="7" s="1"/>
  <c r="B15" i="7"/>
  <c r="F15" i="7" s="1"/>
  <c r="A15" i="7"/>
  <c r="H14" i="7"/>
  <c r="F14" i="7"/>
  <c r="P14" i="7" s="1"/>
  <c r="E14" i="7"/>
  <c r="O14" i="7" s="1"/>
  <c r="B14" i="7"/>
  <c r="A14" i="7"/>
  <c r="H13" i="7"/>
  <c r="C13" i="7"/>
  <c r="B13" i="7"/>
  <c r="D13" i="7" s="1"/>
  <c r="N13" i="7" s="1"/>
  <c r="A13" i="7"/>
  <c r="O12" i="7"/>
  <c r="H12" i="7"/>
  <c r="F12" i="7"/>
  <c r="P12" i="7" s="1"/>
  <c r="D12" i="7"/>
  <c r="N12" i="7" s="1"/>
  <c r="C12" i="7"/>
  <c r="B12" i="7"/>
  <c r="E12" i="7" s="1"/>
  <c r="A12" i="7"/>
  <c r="H11" i="7"/>
  <c r="G11" i="7"/>
  <c r="Q11" i="7" s="1"/>
  <c r="E11" i="7"/>
  <c r="O11" i="7" s="1"/>
  <c r="D11" i="7"/>
  <c r="N11" i="7" s="1"/>
  <c r="C11" i="7"/>
  <c r="I11" i="7" s="1"/>
  <c r="B11" i="7"/>
  <c r="F11" i="7" s="1"/>
  <c r="P11" i="7" s="1"/>
  <c r="A11" i="7"/>
  <c r="H10" i="7"/>
  <c r="D10" i="7"/>
  <c r="N10" i="7" s="1"/>
  <c r="B10" i="7"/>
  <c r="A10" i="7"/>
  <c r="O9" i="7"/>
  <c r="N9" i="7"/>
  <c r="H9" i="7"/>
  <c r="F9" i="7"/>
  <c r="P9" i="7" s="1"/>
  <c r="E9" i="7"/>
  <c r="B9" i="7"/>
  <c r="D9" i="7" s="1"/>
  <c r="A9" i="7"/>
  <c r="H8" i="7"/>
  <c r="B8" i="7"/>
  <c r="E8" i="7" s="1"/>
  <c r="O8" i="7" s="1"/>
  <c r="A8" i="7"/>
  <c r="P7" i="7"/>
  <c r="O7" i="7"/>
  <c r="H7" i="7"/>
  <c r="G7" i="7"/>
  <c r="Q7" i="7" s="1"/>
  <c r="E7" i="7"/>
  <c r="D7" i="7"/>
  <c r="N7" i="7" s="1"/>
  <c r="C7" i="7"/>
  <c r="M7" i="7" s="1"/>
  <c r="B7" i="7"/>
  <c r="F7" i="7" s="1"/>
  <c r="A7" i="7"/>
  <c r="H6" i="7"/>
  <c r="H47" i="7" s="1"/>
  <c r="C5" i="18" s="1"/>
  <c r="F6" i="7"/>
  <c r="P6" i="7" s="1"/>
  <c r="E6" i="7"/>
  <c r="O6" i="7" s="1"/>
  <c r="B6" i="7"/>
  <c r="A6" i="7"/>
  <c r="H5" i="7"/>
  <c r="C5" i="7"/>
  <c r="B5" i="7"/>
  <c r="D5" i="7" s="1"/>
  <c r="N5" i="7" s="1"/>
  <c r="A5" i="7"/>
  <c r="H45" i="6"/>
  <c r="G45" i="6"/>
  <c r="Q45" i="6" s="1"/>
  <c r="B45" i="6"/>
  <c r="D45" i="6" s="1"/>
  <c r="N45" i="6" s="1"/>
  <c r="A45" i="6"/>
  <c r="H44" i="6"/>
  <c r="G44" i="6"/>
  <c r="Q44" i="6" s="1"/>
  <c r="C44" i="6"/>
  <c r="B44" i="6"/>
  <c r="E44" i="6" s="1"/>
  <c r="O44" i="6" s="1"/>
  <c r="A44" i="6"/>
  <c r="P43" i="6"/>
  <c r="H43" i="6"/>
  <c r="G43" i="6"/>
  <c r="Q43" i="6" s="1"/>
  <c r="E43" i="6"/>
  <c r="O43" i="6" s="1"/>
  <c r="D43" i="6"/>
  <c r="N43" i="6" s="1"/>
  <c r="C43" i="6"/>
  <c r="M43" i="6" s="1"/>
  <c r="B43" i="6"/>
  <c r="F43" i="6" s="1"/>
  <c r="A43" i="6"/>
  <c r="Q42" i="6"/>
  <c r="H42" i="6"/>
  <c r="G42" i="6"/>
  <c r="E42" i="6"/>
  <c r="O42" i="6" s="1"/>
  <c r="D42" i="6"/>
  <c r="N42" i="6" s="1"/>
  <c r="B42" i="6"/>
  <c r="C42" i="6" s="1"/>
  <c r="A42" i="6"/>
  <c r="Q41" i="6"/>
  <c r="H41" i="6"/>
  <c r="G41" i="6"/>
  <c r="B41" i="6"/>
  <c r="D41" i="6" s="1"/>
  <c r="N41" i="6" s="1"/>
  <c r="A41" i="6"/>
  <c r="H40" i="6"/>
  <c r="G40" i="6"/>
  <c r="Q40" i="6" s="1"/>
  <c r="C40" i="6"/>
  <c r="M40" i="6" s="1"/>
  <c r="B40" i="6"/>
  <c r="E40" i="6" s="1"/>
  <c r="O40" i="6" s="1"/>
  <c r="A40" i="6"/>
  <c r="O39" i="6"/>
  <c r="H39" i="6"/>
  <c r="G39" i="6"/>
  <c r="Q39" i="6" s="1"/>
  <c r="E39" i="6"/>
  <c r="D39" i="6"/>
  <c r="N39" i="6" s="1"/>
  <c r="C39" i="6"/>
  <c r="M39" i="6" s="1"/>
  <c r="B39" i="6"/>
  <c r="F39" i="6" s="1"/>
  <c r="P39" i="6" s="1"/>
  <c r="A39" i="6"/>
  <c r="Q38" i="6"/>
  <c r="H38" i="6"/>
  <c r="G38" i="6"/>
  <c r="E38" i="6"/>
  <c r="O38" i="6" s="1"/>
  <c r="D38" i="6"/>
  <c r="N38" i="6" s="1"/>
  <c r="B38" i="6"/>
  <c r="C38" i="6" s="1"/>
  <c r="A38" i="6"/>
  <c r="Q37" i="6"/>
  <c r="H37" i="6"/>
  <c r="G37" i="6"/>
  <c r="B37" i="6"/>
  <c r="D37" i="6" s="1"/>
  <c r="N37" i="6" s="1"/>
  <c r="A37" i="6"/>
  <c r="H36" i="6"/>
  <c r="G36" i="6"/>
  <c r="Q36" i="6" s="1"/>
  <c r="C36" i="6"/>
  <c r="M36" i="6" s="1"/>
  <c r="B36" i="6"/>
  <c r="E36" i="6" s="1"/>
  <c r="O36" i="6" s="1"/>
  <c r="A36" i="6"/>
  <c r="O35" i="6"/>
  <c r="H35" i="6"/>
  <c r="G35" i="6"/>
  <c r="Q35" i="6" s="1"/>
  <c r="E35" i="6"/>
  <c r="D35" i="6"/>
  <c r="N35" i="6" s="1"/>
  <c r="C35" i="6"/>
  <c r="M35" i="6" s="1"/>
  <c r="B35" i="6"/>
  <c r="F35" i="6" s="1"/>
  <c r="P35" i="6" s="1"/>
  <c r="A35" i="6"/>
  <c r="Q34" i="6"/>
  <c r="H34" i="6"/>
  <c r="G34" i="6"/>
  <c r="E34" i="6"/>
  <c r="O34" i="6" s="1"/>
  <c r="D34" i="6"/>
  <c r="N34" i="6" s="1"/>
  <c r="B34" i="6"/>
  <c r="C34" i="6" s="1"/>
  <c r="A34" i="6"/>
  <c r="Q33" i="6"/>
  <c r="H33" i="6"/>
  <c r="G33" i="6"/>
  <c r="E33" i="6"/>
  <c r="O33" i="6" s="1"/>
  <c r="B33" i="6"/>
  <c r="D33" i="6" s="1"/>
  <c r="N33" i="6" s="1"/>
  <c r="A33" i="6"/>
  <c r="H32" i="6"/>
  <c r="G32" i="6"/>
  <c r="Q32" i="6" s="1"/>
  <c r="B32" i="6"/>
  <c r="E32" i="6" s="1"/>
  <c r="O32" i="6" s="1"/>
  <c r="A32" i="6"/>
  <c r="O31" i="6"/>
  <c r="H31" i="6"/>
  <c r="G31" i="6"/>
  <c r="Q31" i="6" s="1"/>
  <c r="E31" i="6"/>
  <c r="D31" i="6"/>
  <c r="N31" i="6" s="1"/>
  <c r="C31" i="6"/>
  <c r="M31" i="6" s="1"/>
  <c r="B31" i="6"/>
  <c r="F31" i="6" s="1"/>
  <c r="P31" i="6" s="1"/>
  <c r="A31" i="6"/>
  <c r="Q30" i="6"/>
  <c r="H30" i="6"/>
  <c r="G30" i="6"/>
  <c r="E30" i="6"/>
  <c r="O30" i="6" s="1"/>
  <c r="D30" i="6"/>
  <c r="N30" i="6" s="1"/>
  <c r="B30" i="6"/>
  <c r="C30" i="6" s="1"/>
  <c r="A30" i="6"/>
  <c r="Q29" i="6"/>
  <c r="H29" i="6"/>
  <c r="G29" i="6"/>
  <c r="E29" i="6"/>
  <c r="O29" i="6" s="1"/>
  <c r="B29" i="6"/>
  <c r="D29" i="6" s="1"/>
  <c r="N29" i="6" s="1"/>
  <c r="A29" i="6"/>
  <c r="H28" i="6"/>
  <c r="G28" i="6"/>
  <c r="Q28" i="6" s="1"/>
  <c r="B28" i="6"/>
  <c r="E28" i="6" s="1"/>
  <c r="O28" i="6" s="1"/>
  <c r="A28" i="6"/>
  <c r="O27" i="6"/>
  <c r="H27" i="6"/>
  <c r="G27" i="6"/>
  <c r="Q27" i="6" s="1"/>
  <c r="E27" i="6"/>
  <c r="D27" i="6"/>
  <c r="N27" i="6" s="1"/>
  <c r="C27" i="6"/>
  <c r="M27" i="6" s="1"/>
  <c r="B27" i="6"/>
  <c r="F27" i="6" s="1"/>
  <c r="P27" i="6" s="1"/>
  <c r="A27" i="6"/>
  <c r="Q26" i="6"/>
  <c r="H26" i="6"/>
  <c r="G26" i="6"/>
  <c r="E26" i="6"/>
  <c r="O26" i="6" s="1"/>
  <c r="D26" i="6"/>
  <c r="N26" i="6" s="1"/>
  <c r="B26" i="6"/>
  <c r="C26" i="6" s="1"/>
  <c r="A26" i="6"/>
  <c r="Q25" i="6"/>
  <c r="H25" i="6"/>
  <c r="G25" i="6"/>
  <c r="E25" i="6"/>
  <c r="O25" i="6" s="1"/>
  <c r="B25" i="6"/>
  <c r="D25" i="6" s="1"/>
  <c r="N25" i="6" s="1"/>
  <c r="A25" i="6"/>
  <c r="H24" i="6"/>
  <c r="G24" i="6"/>
  <c r="Q24" i="6" s="1"/>
  <c r="B24" i="6"/>
  <c r="E24" i="6" s="1"/>
  <c r="O24" i="6" s="1"/>
  <c r="A24" i="6"/>
  <c r="O23" i="6"/>
  <c r="H23" i="6"/>
  <c r="G23" i="6"/>
  <c r="Q23" i="6" s="1"/>
  <c r="E23" i="6"/>
  <c r="D23" i="6"/>
  <c r="N23" i="6" s="1"/>
  <c r="C23" i="6"/>
  <c r="M23" i="6" s="1"/>
  <c r="B23" i="6"/>
  <c r="F23" i="6" s="1"/>
  <c r="P23" i="6" s="1"/>
  <c r="A23" i="6"/>
  <c r="Q22" i="6"/>
  <c r="H22" i="6"/>
  <c r="G22" i="6"/>
  <c r="E22" i="6"/>
  <c r="O22" i="6" s="1"/>
  <c r="D22" i="6"/>
  <c r="N22" i="6" s="1"/>
  <c r="B22" i="6"/>
  <c r="C22" i="6" s="1"/>
  <c r="A22" i="6"/>
  <c r="Q21" i="6"/>
  <c r="H21" i="6"/>
  <c r="G21" i="6"/>
  <c r="E21" i="6"/>
  <c r="O21" i="6" s="1"/>
  <c r="B21" i="6"/>
  <c r="D21" i="6" s="1"/>
  <c r="N21" i="6" s="1"/>
  <c r="A21" i="6"/>
  <c r="H20" i="6"/>
  <c r="G20" i="6"/>
  <c r="Q20" i="6" s="1"/>
  <c r="B20" i="6"/>
  <c r="E20" i="6" s="1"/>
  <c r="O20" i="6" s="1"/>
  <c r="A20" i="6"/>
  <c r="O19" i="6"/>
  <c r="H19" i="6"/>
  <c r="G19" i="6"/>
  <c r="Q19" i="6" s="1"/>
  <c r="E19" i="6"/>
  <c r="D19" i="6"/>
  <c r="N19" i="6" s="1"/>
  <c r="C19" i="6"/>
  <c r="M19" i="6" s="1"/>
  <c r="B19" i="6"/>
  <c r="F19" i="6" s="1"/>
  <c r="P19" i="6" s="1"/>
  <c r="A19" i="6"/>
  <c r="Q18" i="6"/>
  <c r="H18" i="6"/>
  <c r="G18" i="6"/>
  <c r="E18" i="6"/>
  <c r="O18" i="6" s="1"/>
  <c r="D18" i="6"/>
  <c r="N18" i="6" s="1"/>
  <c r="B18" i="6"/>
  <c r="C18" i="6" s="1"/>
  <c r="A18" i="6"/>
  <c r="Q17" i="6"/>
  <c r="H17" i="6"/>
  <c r="G17" i="6"/>
  <c r="E17" i="6"/>
  <c r="O17" i="6" s="1"/>
  <c r="B17" i="6"/>
  <c r="D17" i="6" s="1"/>
  <c r="N17" i="6" s="1"/>
  <c r="A17" i="6"/>
  <c r="H16" i="6"/>
  <c r="G16" i="6"/>
  <c r="Q16" i="6" s="1"/>
  <c r="B16" i="6"/>
  <c r="E16" i="6" s="1"/>
  <c r="O16" i="6" s="1"/>
  <c r="A16" i="6"/>
  <c r="O15" i="6"/>
  <c r="H15" i="6"/>
  <c r="G15" i="6"/>
  <c r="Q15" i="6" s="1"/>
  <c r="E15" i="6"/>
  <c r="D15" i="6"/>
  <c r="N15" i="6" s="1"/>
  <c r="C15" i="6"/>
  <c r="M15" i="6" s="1"/>
  <c r="B15" i="6"/>
  <c r="F15" i="6" s="1"/>
  <c r="P15" i="6" s="1"/>
  <c r="A15" i="6"/>
  <c r="Q14" i="6"/>
  <c r="H14" i="6"/>
  <c r="G14" i="6"/>
  <c r="E14" i="6"/>
  <c r="O14" i="6" s="1"/>
  <c r="D14" i="6"/>
  <c r="N14" i="6" s="1"/>
  <c r="B14" i="6"/>
  <c r="C14" i="6" s="1"/>
  <c r="A14" i="6"/>
  <c r="Q13" i="6"/>
  <c r="H13" i="6"/>
  <c r="G13" i="6"/>
  <c r="E13" i="6"/>
  <c r="O13" i="6" s="1"/>
  <c r="B13" i="6"/>
  <c r="D13" i="6" s="1"/>
  <c r="N13" i="6" s="1"/>
  <c r="A13" i="6"/>
  <c r="H12" i="6"/>
  <c r="G12" i="6"/>
  <c r="Q12" i="6" s="1"/>
  <c r="B12" i="6"/>
  <c r="E12" i="6" s="1"/>
  <c r="O12" i="6" s="1"/>
  <c r="A12" i="6"/>
  <c r="O11" i="6"/>
  <c r="H11" i="6"/>
  <c r="G11" i="6"/>
  <c r="Q11" i="6" s="1"/>
  <c r="E11" i="6"/>
  <c r="D11" i="6"/>
  <c r="N11" i="6" s="1"/>
  <c r="C11" i="6"/>
  <c r="M11" i="6" s="1"/>
  <c r="B11" i="6"/>
  <c r="F11" i="6" s="1"/>
  <c r="P11" i="6" s="1"/>
  <c r="A11" i="6"/>
  <c r="Q10" i="6"/>
  <c r="H10" i="6"/>
  <c r="G10" i="6"/>
  <c r="E10" i="6"/>
  <c r="O10" i="6" s="1"/>
  <c r="D10" i="6"/>
  <c r="N10" i="6" s="1"/>
  <c r="B10" i="6"/>
  <c r="C10" i="6" s="1"/>
  <c r="A10" i="6"/>
  <c r="Q9" i="6"/>
  <c r="H9" i="6"/>
  <c r="G9" i="6"/>
  <c r="E9" i="6"/>
  <c r="O9" i="6" s="1"/>
  <c r="B9" i="6"/>
  <c r="D9" i="6" s="1"/>
  <c r="N9" i="6" s="1"/>
  <c r="A9" i="6"/>
  <c r="H8" i="6"/>
  <c r="G8" i="6"/>
  <c r="Q8" i="6" s="1"/>
  <c r="B8" i="6"/>
  <c r="E8" i="6" s="1"/>
  <c r="O8" i="6" s="1"/>
  <c r="A8" i="6"/>
  <c r="O7" i="6"/>
  <c r="H7" i="6"/>
  <c r="G7" i="6"/>
  <c r="Q7" i="6" s="1"/>
  <c r="E7" i="6"/>
  <c r="D7" i="6"/>
  <c r="N7" i="6" s="1"/>
  <c r="C7" i="6"/>
  <c r="M7" i="6" s="1"/>
  <c r="B7" i="6"/>
  <c r="F7" i="6" s="1"/>
  <c r="P7" i="6" s="1"/>
  <c r="A7" i="6"/>
  <c r="Q6" i="6"/>
  <c r="H6" i="6"/>
  <c r="H47" i="6" s="1"/>
  <c r="C4" i="18" s="1"/>
  <c r="G6" i="6"/>
  <c r="E6" i="6"/>
  <c r="O6" i="6" s="1"/>
  <c r="D6" i="6"/>
  <c r="N6" i="6" s="1"/>
  <c r="B6" i="6"/>
  <c r="C6" i="6" s="1"/>
  <c r="A6" i="6"/>
  <c r="Q5" i="6"/>
  <c r="H5" i="6"/>
  <c r="G5" i="6"/>
  <c r="E5" i="6"/>
  <c r="O5" i="6" s="1"/>
  <c r="B5" i="6"/>
  <c r="D5" i="6" s="1"/>
  <c r="N5" i="6" s="1"/>
  <c r="A5" i="6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E2" i="3"/>
  <c r="C44" i="19"/>
  <c r="C42" i="19"/>
  <c r="C40" i="19"/>
  <c r="C38" i="19"/>
  <c r="C36" i="19"/>
  <c r="C34" i="19"/>
  <c r="C32" i="19"/>
  <c r="C30" i="19"/>
  <c r="C28" i="19"/>
  <c r="C26" i="19"/>
  <c r="C24" i="19"/>
  <c r="C22" i="19"/>
  <c r="C20" i="19"/>
  <c r="C18" i="19"/>
  <c r="C16" i="19"/>
  <c r="C14" i="19"/>
  <c r="C12" i="19"/>
  <c r="C10" i="19"/>
  <c r="C8" i="19"/>
  <c r="C6" i="19"/>
  <c r="C45" i="19"/>
  <c r="C43" i="19"/>
  <c r="C41" i="19"/>
  <c r="C39" i="19"/>
  <c r="C37" i="19"/>
  <c r="C35" i="19"/>
  <c r="C33" i="19"/>
  <c r="C31" i="19"/>
  <c r="C29" i="19"/>
  <c r="C27" i="19"/>
  <c r="C25" i="19"/>
  <c r="C23" i="19"/>
  <c r="C21" i="19"/>
  <c r="C19" i="19"/>
  <c r="C17" i="19"/>
  <c r="C15" i="19"/>
  <c r="C13" i="19"/>
  <c r="C11" i="19"/>
  <c r="C9" i="19"/>
  <c r="C7" i="19"/>
  <c r="C5" i="19"/>
  <c r="M22" i="6" l="1"/>
  <c r="M38" i="6"/>
  <c r="J39" i="6"/>
  <c r="L19" i="7"/>
  <c r="K19" i="7"/>
  <c r="L35" i="7"/>
  <c r="K35" i="7"/>
  <c r="L15" i="8"/>
  <c r="K15" i="8"/>
  <c r="L23" i="8"/>
  <c r="K23" i="8"/>
  <c r="M10" i="6"/>
  <c r="M26" i="6"/>
  <c r="M42" i="6"/>
  <c r="M6" i="6"/>
  <c r="M14" i="6"/>
  <c r="M30" i="6"/>
  <c r="L11" i="7"/>
  <c r="K11" i="7"/>
  <c r="L27" i="7"/>
  <c r="K27" i="7"/>
  <c r="L43" i="7"/>
  <c r="K43" i="7"/>
  <c r="M18" i="6"/>
  <c r="M34" i="6"/>
  <c r="K19" i="8"/>
  <c r="L19" i="8"/>
  <c r="F20" i="6"/>
  <c r="P20" i="6" s="1"/>
  <c r="F28" i="6"/>
  <c r="P28" i="6" s="1"/>
  <c r="F32" i="6"/>
  <c r="P32" i="6" s="1"/>
  <c r="F36" i="6"/>
  <c r="P36" i="6" s="1"/>
  <c r="E37" i="6"/>
  <c r="O37" i="6" s="1"/>
  <c r="F40" i="6"/>
  <c r="P40" i="6" s="1"/>
  <c r="E41" i="6"/>
  <c r="O41" i="6" s="1"/>
  <c r="I43" i="6"/>
  <c r="F45" i="6"/>
  <c r="P45" i="6" s="1"/>
  <c r="G5" i="7"/>
  <c r="Q5" i="7" s="1"/>
  <c r="J7" i="7"/>
  <c r="F8" i="7"/>
  <c r="P8" i="7" s="1"/>
  <c r="G10" i="7"/>
  <c r="Q10" i="7" s="1"/>
  <c r="C10" i="7"/>
  <c r="M12" i="7"/>
  <c r="G13" i="7"/>
  <c r="Q13" i="7" s="1"/>
  <c r="F16" i="7"/>
  <c r="P16" i="7" s="1"/>
  <c r="G18" i="7"/>
  <c r="Q18" i="7" s="1"/>
  <c r="C18" i="7"/>
  <c r="M20" i="7"/>
  <c r="G21" i="7"/>
  <c r="Q21" i="7" s="1"/>
  <c r="F24" i="7"/>
  <c r="P24" i="7" s="1"/>
  <c r="G26" i="7"/>
  <c r="Q26" i="7" s="1"/>
  <c r="C26" i="7"/>
  <c r="M28" i="7"/>
  <c r="G29" i="7"/>
  <c r="Q29" i="7" s="1"/>
  <c r="F32" i="7"/>
  <c r="P32" i="7" s="1"/>
  <c r="G34" i="7"/>
  <c r="Q34" i="7" s="1"/>
  <c r="C34" i="7"/>
  <c r="M36" i="7"/>
  <c r="G37" i="7"/>
  <c r="Q37" i="7" s="1"/>
  <c r="F40" i="7"/>
  <c r="P40" i="7" s="1"/>
  <c r="G42" i="7"/>
  <c r="Q42" i="7" s="1"/>
  <c r="C42" i="7"/>
  <c r="M44" i="7"/>
  <c r="G45" i="7"/>
  <c r="Q45" i="7" s="1"/>
  <c r="H47" i="8"/>
  <c r="C6" i="18" s="1"/>
  <c r="G6" i="1" s="1"/>
  <c r="F6" i="8"/>
  <c r="P6" i="8" s="1"/>
  <c r="F8" i="8"/>
  <c r="P8" i="8" s="1"/>
  <c r="I11" i="8"/>
  <c r="F13" i="8"/>
  <c r="P13" i="8" s="1"/>
  <c r="M16" i="8"/>
  <c r="I16" i="8"/>
  <c r="I21" i="8"/>
  <c r="I27" i="8"/>
  <c r="M28" i="8"/>
  <c r="D29" i="8"/>
  <c r="N29" i="8" s="1"/>
  <c r="E29" i="8"/>
  <c r="O29" i="8" s="1"/>
  <c r="F29" i="8"/>
  <c r="P29" i="8" s="1"/>
  <c r="I37" i="8"/>
  <c r="L8" i="9"/>
  <c r="K8" i="9"/>
  <c r="J8" i="9"/>
  <c r="K5" i="10"/>
  <c r="L5" i="10"/>
  <c r="F12" i="6"/>
  <c r="P12" i="6" s="1"/>
  <c r="F24" i="6"/>
  <c r="P24" i="6" s="1"/>
  <c r="C12" i="6"/>
  <c r="F13" i="6"/>
  <c r="P13" i="6" s="1"/>
  <c r="C24" i="6"/>
  <c r="F25" i="6"/>
  <c r="P25" i="6" s="1"/>
  <c r="M5" i="7"/>
  <c r="G8" i="7"/>
  <c r="Q8" i="7" s="1"/>
  <c r="M13" i="7"/>
  <c r="G16" i="7"/>
  <c r="Q16" i="7" s="1"/>
  <c r="M21" i="7"/>
  <c r="G24" i="7"/>
  <c r="Q24" i="7" s="1"/>
  <c r="I31" i="7"/>
  <c r="G32" i="7"/>
  <c r="Q32" i="7" s="1"/>
  <c r="M37" i="7"/>
  <c r="I39" i="7"/>
  <c r="G40" i="7"/>
  <c r="Q40" i="7" s="1"/>
  <c r="M45" i="7"/>
  <c r="I5" i="8"/>
  <c r="I7" i="8"/>
  <c r="M12" i="8"/>
  <c r="I14" i="8"/>
  <c r="M17" i="8"/>
  <c r="J19" i="8"/>
  <c r="M19" i="8"/>
  <c r="E24" i="8"/>
  <c r="O24" i="8" s="1"/>
  <c r="D24" i="8"/>
  <c r="N24" i="8" s="1"/>
  <c r="M29" i="8"/>
  <c r="E36" i="8"/>
  <c r="O36" i="8" s="1"/>
  <c r="C36" i="8"/>
  <c r="F36" i="8"/>
  <c r="P36" i="8" s="1"/>
  <c r="D36" i="8"/>
  <c r="N36" i="8" s="1"/>
  <c r="M40" i="8"/>
  <c r="K17" i="9"/>
  <c r="L17" i="9"/>
  <c r="J17" i="9"/>
  <c r="F8" i="6"/>
  <c r="P8" i="6" s="1"/>
  <c r="F5" i="6"/>
  <c r="P5" i="6" s="1"/>
  <c r="C16" i="6"/>
  <c r="F17" i="6"/>
  <c r="P17" i="6" s="1"/>
  <c r="C28" i="6"/>
  <c r="F29" i="6"/>
  <c r="P29" i="6" s="1"/>
  <c r="F41" i="6"/>
  <c r="P41" i="6" s="1"/>
  <c r="I7" i="7"/>
  <c r="M29" i="7"/>
  <c r="C5" i="6"/>
  <c r="F6" i="6"/>
  <c r="P6" i="6" s="1"/>
  <c r="I7" i="6"/>
  <c r="I11" i="6"/>
  <c r="D12" i="6"/>
  <c r="N12" i="6" s="1"/>
  <c r="C13" i="6"/>
  <c r="F14" i="6"/>
  <c r="P14" i="6" s="1"/>
  <c r="I15" i="6"/>
  <c r="D16" i="6"/>
  <c r="N16" i="6" s="1"/>
  <c r="I19" i="6"/>
  <c r="J19" i="6" s="1"/>
  <c r="D20" i="6"/>
  <c r="N20" i="6" s="1"/>
  <c r="C21" i="6"/>
  <c r="F22" i="6"/>
  <c r="P22" i="6" s="1"/>
  <c r="D24" i="6"/>
  <c r="N24" i="6" s="1"/>
  <c r="I27" i="6"/>
  <c r="D28" i="6"/>
  <c r="N28" i="6" s="1"/>
  <c r="C29" i="6"/>
  <c r="F30" i="6"/>
  <c r="P30" i="6" s="1"/>
  <c r="I31" i="6"/>
  <c r="D32" i="6"/>
  <c r="N32" i="6" s="1"/>
  <c r="C33" i="6"/>
  <c r="F34" i="6"/>
  <c r="P34" i="6" s="1"/>
  <c r="I39" i="6"/>
  <c r="D40" i="6"/>
  <c r="N40" i="6" s="1"/>
  <c r="C41" i="6"/>
  <c r="F42" i="6"/>
  <c r="P42" i="6" s="1"/>
  <c r="D44" i="6"/>
  <c r="N44" i="6" s="1"/>
  <c r="C45" i="6"/>
  <c r="E5" i="7"/>
  <c r="O5" i="7" s="1"/>
  <c r="G6" i="7"/>
  <c r="Q6" i="7" s="1"/>
  <c r="C6" i="7"/>
  <c r="C8" i="7"/>
  <c r="G9" i="7"/>
  <c r="Q9" i="7" s="1"/>
  <c r="E10" i="7"/>
  <c r="O10" i="7" s="1"/>
  <c r="J11" i="7"/>
  <c r="M11" i="7"/>
  <c r="E13" i="7"/>
  <c r="O13" i="7" s="1"/>
  <c r="G14" i="7"/>
  <c r="Q14" i="7" s="1"/>
  <c r="C14" i="7"/>
  <c r="C16" i="7"/>
  <c r="G17" i="7"/>
  <c r="Q17" i="7" s="1"/>
  <c r="E18" i="7"/>
  <c r="O18" i="7" s="1"/>
  <c r="J19" i="7"/>
  <c r="M19" i="7"/>
  <c r="E21" i="7"/>
  <c r="O21" i="7" s="1"/>
  <c r="G22" i="7"/>
  <c r="Q22" i="7" s="1"/>
  <c r="C22" i="7"/>
  <c r="C24" i="7"/>
  <c r="G25" i="7"/>
  <c r="Q25" i="7" s="1"/>
  <c r="E26" i="7"/>
  <c r="O26" i="7" s="1"/>
  <c r="J27" i="7"/>
  <c r="M27" i="7"/>
  <c r="E29" i="7"/>
  <c r="O29" i="7" s="1"/>
  <c r="G30" i="7"/>
  <c r="Q30" i="7" s="1"/>
  <c r="C30" i="7"/>
  <c r="C32" i="7"/>
  <c r="G33" i="7"/>
  <c r="Q33" i="7" s="1"/>
  <c r="E34" i="7"/>
  <c r="O34" i="7" s="1"/>
  <c r="J35" i="7"/>
  <c r="M35" i="7"/>
  <c r="E37" i="7"/>
  <c r="O37" i="7" s="1"/>
  <c r="G38" i="7"/>
  <c r="Q38" i="7" s="1"/>
  <c r="C38" i="7"/>
  <c r="C40" i="7"/>
  <c r="G41" i="7"/>
  <c r="Q41" i="7" s="1"/>
  <c r="E42" i="7"/>
  <c r="O42" i="7" s="1"/>
  <c r="J43" i="7"/>
  <c r="M43" i="7"/>
  <c r="E45" i="7"/>
  <c r="O45" i="7" s="1"/>
  <c r="D6" i="8"/>
  <c r="N6" i="8" s="1"/>
  <c r="M6" i="8"/>
  <c r="C8" i="8"/>
  <c r="E10" i="8"/>
  <c r="O10" i="8" s="1"/>
  <c r="D12" i="8"/>
  <c r="N12" i="8" s="1"/>
  <c r="C13" i="8"/>
  <c r="J15" i="8"/>
  <c r="M15" i="8"/>
  <c r="E17" i="8"/>
  <c r="O17" i="8" s="1"/>
  <c r="C22" i="8"/>
  <c r="E22" i="8"/>
  <c r="O22" i="8" s="1"/>
  <c r="J23" i="8"/>
  <c r="C24" i="8"/>
  <c r="I30" i="8"/>
  <c r="I31" i="8"/>
  <c r="C34" i="8"/>
  <c r="D34" i="8"/>
  <c r="N34" i="8" s="1"/>
  <c r="F34" i="8"/>
  <c r="P34" i="8" s="1"/>
  <c r="E34" i="8"/>
  <c r="O34" i="8" s="1"/>
  <c r="I35" i="8"/>
  <c r="D41" i="8"/>
  <c r="N41" i="8" s="1"/>
  <c r="C41" i="8"/>
  <c r="F41" i="8"/>
  <c r="P41" i="8" s="1"/>
  <c r="E41" i="8"/>
  <c r="O41" i="8" s="1"/>
  <c r="L42" i="9"/>
  <c r="K42" i="9"/>
  <c r="F16" i="6"/>
  <c r="P16" i="6" s="1"/>
  <c r="C8" i="6"/>
  <c r="F9" i="6"/>
  <c r="P9" i="6" s="1"/>
  <c r="C20" i="6"/>
  <c r="F21" i="6"/>
  <c r="P21" i="6" s="1"/>
  <c r="C32" i="6"/>
  <c r="F33" i="6"/>
  <c r="P33" i="6" s="1"/>
  <c r="F37" i="6"/>
  <c r="P37" i="6" s="1"/>
  <c r="M44" i="6"/>
  <c r="I15" i="7"/>
  <c r="I23" i="7"/>
  <c r="J23" i="7" s="1"/>
  <c r="D8" i="6"/>
  <c r="N8" i="6" s="1"/>
  <c r="C9" i="6"/>
  <c r="F10" i="6"/>
  <c r="P10" i="6" s="1"/>
  <c r="C17" i="6"/>
  <c r="F18" i="6"/>
  <c r="P18" i="6" s="1"/>
  <c r="I23" i="6"/>
  <c r="J23" i="6" s="1"/>
  <c r="C25" i="6"/>
  <c r="F26" i="6"/>
  <c r="P26" i="6" s="1"/>
  <c r="I35" i="6"/>
  <c r="J35" i="6" s="1"/>
  <c r="D36" i="6"/>
  <c r="N36" i="6" s="1"/>
  <c r="C37" i="6"/>
  <c r="F38" i="6"/>
  <c r="P38" i="6" s="1"/>
  <c r="I36" i="6"/>
  <c r="J43" i="6"/>
  <c r="F44" i="6"/>
  <c r="P44" i="6" s="1"/>
  <c r="E45" i="6"/>
  <c r="O45" i="6" s="1"/>
  <c r="F5" i="7"/>
  <c r="P5" i="7" s="1"/>
  <c r="D6" i="7"/>
  <c r="N6" i="7" s="1"/>
  <c r="D8" i="7"/>
  <c r="N8" i="7" s="1"/>
  <c r="C9" i="7"/>
  <c r="F10" i="7"/>
  <c r="P10" i="7" s="1"/>
  <c r="G12" i="7"/>
  <c r="Q12" i="7" s="1"/>
  <c r="F13" i="7"/>
  <c r="P13" i="7" s="1"/>
  <c r="D14" i="7"/>
  <c r="N14" i="7" s="1"/>
  <c r="D16" i="7"/>
  <c r="N16" i="7" s="1"/>
  <c r="C17" i="7"/>
  <c r="F18" i="7"/>
  <c r="P18" i="7" s="1"/>
  <c r="G20" i="7"/>
  <c r="Q20" i="7" s="1"/>
  <c r="F21" i="7"/>
  <c r="P21" i="7" s="1"/>
  <c r="D22" i="7"/>
  <c r="N22" i="7" s="1"/>
  <c r="D24" i="7"/>
  <c r="N24" i="7" s="1"/>
  <c r="C25" i="7"/>
  <c r="F26" i="7"/>
  <c r="P26" i="7" s="1"/>
  <c r="G28" i="7"/>
  <c r="Q28" i="7" s="1"/>
  <c r="F29" i="7"/>
  <c r="P29" i="7" s="1"/>
  <c r="D30" i="7"/>
  <c r="N30" i="7" s="1"/>
  <c r="D32" i="7"/>
  <c r="N32" i="7" s="1"/>
  <c r="C33" i="7"/>
  <c r="F34" i="7"/>
  <c r="P34" i="7" s="1"/>
  <c r="G36" i="7"/>
  <c r="Q36" i="7" s="1"/>
  <c r="F37" i="7"/>
  <c r="P37" i="7" s="1"/>
  <c r="D38" i="7"/>
  <c r="N38" i="7" s="1"/>
  <c r="D40" i="7"/>
  <c r="N40" i="7" s="1"/>
  <c r="C41" i="7"/>
  <c r="F42" i="7"/>
  <c r="P42" i="7" s="1"/>
  <c r="G44" i="7"/>
  <c r="Q44" i="7" s="1"/>
  <c r="F45" i="7"/>
  <c r="P45" i="7" s="1"/>
  <c r="E6" i="8"/>
  <c r="O6" i="8" s="1"/>
  <c r="D8" i="8"/>
  <c r="N8" i="8" s="1"/>
  <c r="C9" i="8"/>
  <c r="F10" i="8"/>
  <c r="P10" i="8" s="1"/>
  <c r="J11" i="8"/>
  <c r="F12" i="8"/>
  <c r="P12" i="8" s="1"/>
  <c r="E13" i="8"/>
  <c r="O13" i="8" s="1"/>
  <c r="F17" i="8"/>
  <c r="P17" i="8" s="1"/>
  <c r="D18" i="8"/>
  <c r="C20" i="8"/>
  <c r="D22" i="8"/>
  <c r="N22" i="8" s="1"/>
  <c r="F24" i="8"/>
  <c r="P24" i="8" s="1"/>
  <c r="D25" i="8"/>
  <c r="N25" i="8" s="1"/>
  <c r="C25" i="8"/>
  <c r="C26" i="8"/>
  <c r="F26" i="8"/>
  <c r="P26" i="8" s="1"/>
  <c r="L26" i="9"/>
  <c r="K26" i="9"/>
  <c r="M32" i="8"/>
  <c r="I32" i="8"/>
  <c r="F38" i="8"/>
  <c r="P38" i="8" s="1"/>
  <c r="J39" i="8"/>
  <c r="F40" i="8"/>
  <c r="P40" i="8" s="1"/>
  <c r="I43" i="8"/>
  <c r="F45" i="8"/>
  <c r="P45" i="8" s="1"/>
  <c r="I6" i="9"/>
  <c r="E11" i="9"/>
  <c r="O11" i="9" s="1"/>
  <c r="D11" i="9"/>
  <c r="N11" i="9" s="1"/>
  <c r="D16" i="9"/>
  <c r="N16" i="9" s="1"/>
  <c r="E16" i="9"/>
  <c r="O16" i="9" s="1"/>
  <c r="N17" i="9"/>
  <c r="D20" i="9"/>
  <c r="N20" i="9" s="1"/>
  <c r="F20" i="9"/>
  <c r="P20" i="9" s="1"/>
  <c r="I24" i="9"/>
  <c r="I30" i="9"/>
  <c r="M31" i="9"/>
  <c r="L34" i="9"/>
  <c r="M36" i="9"/>
  <c r="C37" i="9"/>
  <c r="D37" i="9"/>
  <c r="N37" i="9" s="1"/>
  <c r="I40" i="9"/>
  <c r="C41" i="9"/>
  <c r="E41" i="9"/>
  <c r="O41" i="9" s="1"/>
  <c r="D41" i="9"/>
  <c r="N41" i="9" s="1"/>
  <c r="M42" i="9"/>
  <c r="E43" i="9"/>
  <c r="O43" i="9" s="1"/>
  <c r="D43" i="9"/>
  <c r="N43" i="9" s="1"/>
  <c r="C43" i="9"/>
  <c r="M7" i="10"/>
  <c r="I7" i="10"/>
  <c r="K22" i="10"/>
  <c r="L22" i="10"/>
  <c r="L26" i="10"/>
  <c r="K26" i="10"/>
  <c r="K10" i="11"/>
  <c r="L10" i="11"/>
  <c r="I17" i="11"/>
  <c r="J35" i="8"/>
  <c r="I39" i="8"/>
  <c r="M44" i="8"/>
  <c r="M8" i="9"/>
  <c r="C9" i="9"/>
  <c r="E9" i="9"/>
  <c r="O9" i="9" s="1"/>
  <c r="M11" i="9"/>
  <c r="I16" i="9"/>
  <c r="I18" i="9"/>
  <c r="J18" i="9"/>
  <c r="M19" i="9"/>
  <c r="I19" i="9"/>
  <c r="C20" i="9"/>
  <c r="I22" i="9"/>
  <c r="M26" i="9"/>
  <c r="E27" i="9"/>
  <c r="O27" i="9" s="1"/>
  <c r="D27" i="9"/>
  <c r="N27" i="9" s="1"/>
  <c r="D32" i="9"/>
  <c r="N32" i="9" s="1"/>
  <c r="E32" i="9"/>
  <c r="O32" i="9" s="1"/>
  <c r="M34" i="9"/>
  <c r="D36" i="9"/>
  <c r="N36" i="9" s="1"/>
  <c r="F36" i="9"/>
  <c r="P36" i="9" s="1"/>
  <c r="E37" i="9"/>
  <c r="O37" i="9" s="1"/>
  <c r="F41" i="9"/>
  <c r="P41" i="9" s="1"/>
  <c r="F43" i="9"/>
  <c r="P43" i="9" s="1"/>
  <c r="N5" i="10"/>
  <c r="I6" i="10"/>
  <c r="D8" i="10"/>
  <c r="N8" i="10" s="1"/>
  <c r="F8" i="10"/>
  <c r="P8" i="10" s="1"/>
  <c r="E8" i="10"/>
  <c r="O8" i="10" s="1"/>
  <c r="L12" i="10"/>
  <c r="K12" i="10"/>
  <c r="J12" i="10"/>
  <c r="J37" i="10"/>
  <c r="M45" i="8"/>
  <c r="C5" i="9"/>
  <c r="D5" i="9"/>
  <c r="N5" i="9" s="1"/>
  <c r="E7" i="9"/>
  <c r="O7" i="9" s="1"/>
  <c r="C7" i="9"/>
  <c r="I10" i="9"/>
  <c r="D12" i="9"/>
  <c r="N12" i="9" s="1"/>
  <c r="C12" i="9"/>
  <c r="C13" i="9"/>
  <c r="F13" i="9"/>
  <c r="P13" i="9" s="1"/>
  <c r="E15" i="9"/>
  <c r="O15" i="9" s="1"/>
  <c r="F15" i="9"/>
  <c r="P15" i="9" s="1"/>
  <c r="C25" i="9"/>
  <c r="E25" i="9"/>
  <c r="O25" i="9" s="1"/>
  <c r="J26" i="9"/>
  <c r="M27" i="9"/>
  <c r="I33" i="9"/>
  <c r="J33" i="9" s="1"/>
  <c r="J34" i="9"/>
  <c r="M35" i="9"/>
  <c r="I35" i="9"/>
  <c r="J35" i="9" s="1"/>
  <c r="I38" i="9"/>
  <c r="J42" i="9"/>
  <c r="C45" i="9"/>
  <c r="F45" i="9"/>
  <c r="P45" i="9" s="1"/>
  <c r="E45" i="9"/>
  <c r="O45" i="9" s="1"/>
  <c r="H47" i="10"/>
  <c r="C8" i="18" s="1"/>
  <c r="C15" i="18" s="1"/>
  <c r="J5" i="10"/>
  <c r="M8" i="10"/>
  <c r="L14" i="10"/>
  <c r="K14" i="10"/>
  <c r="J14" i="10"/>
  <c r="C17" i="10"/>
  <c r="F17" i="10"/>
  <c r="P17" i="10" s="1"/>
  <c r="E17" i="10"/>
  <c r="O17" i="10" s="1"/>
  <c r="D17" i="10"/>
  <c r="N17" i="10" s="1"/>
  <c r="I18" i="10"/>
  <c r="E19" i="10"/>
  <c r="O19" i="10" s="1"/>
  <c r="F19" i="10"/>
  <c r="P19" i="10" s="1"/>
  <c r="D19" i="10"/>
  <c r="N19" i="10" s="1"/>
  <c r="C19" i="10"/>
  <c r="I29" i="10"/>
  <c r="K38" i="10"/>
  <c r="L38" i="10"/>
  <c r="J27" i="8"/>
  <c r="F28" i="8"/>
  <c r="P28" i="8" s="1"/>
  <c r="F33" i="8"/>
  <c r="P33" i="8" s="1"/>
  <c r="E38" i="8"/>
  <c r="O38" i="8" s="1"/>
  <c r="D40" i="8"/>
  <c r="N40" i="8" s="1"/>
  <c r="F42" i="8"/>
  <c r="J43" i="8"/>
  <c r="F44" i="8"/>
  <c r="P44" i="8" s="1"/>
  <c r="E45" i="8"/>
  <c r="O45" i="8" s="1"/>
  <c r="E5" i="9"/>
  <c r="O5" i="9" s="1"/>
  <c r="J6" i="9"/>
  <c r="D7" i="9"/>
  <c r="N7" i="9" s="1"/>
  <c r="F9" i="9"/>
  <c r="P9" i="9" s="1"/>
  <c r="E12" i="9"/>
  <c r="O12" i="9" s="1"/>
  <c r="D13" i="9"/>
  <c r="N13" i="9" s="1"/>
  <c r="I14" i="9"/>
  <c r="C15" i="9"/>
  <c r="M16" i="9"/>
  <c r="C21" i="9"/>
  <c r="D21" i="9"/>
  <c r="N21" i="9" s="1"/>
  <c r="E23" i="9"/>
  <c r="O23" i="9" s="1"/>
  <c r="C23" i="9"/>
  <c r="D25" i="9"/>
  <c r="N25" i="9" s="1"/>
  <c r="F27" i="9"/>
  <c r="P27" i="9" s="1"/>
  <c r="D28" i="9"/>
  <c r="N28" i="9" s="1"/>
  <c r="C28" i="9"/>
  <c r="C29" i="9"/>
  <c r="F29" i="9"/>
  <c r="P29" i="9" s="1"/>
  <c r="E31" i="9"/>
  <c r="O31" i="9" s="1"/>
  <c r="F31" i="9"/>
  <c r="P31" i="9" s="1"/>
  <c r="F32" i="9"/>
  <c r="P32" i="9" s="1"/>
  <c r="E36" i="9"/>
  <c r="O36" i="9" s="1"/>
  <c r="D45" i="9"/>
  <c r="N45" i="9" s="1"/>
  <c r="I10" i="10"/>
  <c r="M14" i="10"/>
  <c r="I45" i="10"/>
  <c r="J10" i="10"/>
  <c r="M10" i="10"/>
  <c r="I21" i="10"/>
  <c r="C24" i="10"/>
  <c r="J26" i="10"/>
  <c r="M26" i="10"/>
  <c r="I28" i="10"/>
  <c r="I30" i="10"/>
  <c r="D33" i="10"/>
  <c r="N33" i="10" s="1"/>
  <c r="M33" i="10"/>
  <c r="C35" i="10"/>
  <c r="I37" i="10"/>
  <c r="C40" i="10"/>
  <c r="F41" i="10"/>
  <c r="P41" i="10" s="1"/>
  <c r="J42" i="10"/>
  <c r="F43" i="10"/>
  <c r="P43" i="10" s="1"/>
  <c r="I44" i="10"/>
  <c r="D5" i="11"/>
  <c r="N5" i="11" s="1"/>
  <c r="H47" i="11"/>
  <c r="C9" i="18" s="1"/>
  <c r="M5" i="11"/>
  <c r="C7" i="11"/>
  <c r="I9" i="11"/>
  <c r="J9" i="11" s="1"/>
  <c r="C12" i="11"/>
  <c r="F13" i="11"/>
  <c r="P13" i="11" s="1"/>
  <c r="J14" i="11"/>
  <c r="F15" i="11"/>
  <c r="P15" i="11" s="1"/>
  <c r="I16" i="11"/>
  <c r="I18" i="11"/>
  <c r="F20" i="11"/>
  <c r="P20" i="11" s="1"/>
  <c r="D21" i="11"/>
  <c r="N21" i="11" s="1"/>
  <c r="I22" i="11"/>
  <c r="J22" i="11" s="1"/>
  <c r="M23" i="11"/>
  <c r="I23" i="11"/>
  <c r="C24" i="11"/>
  <c r="I26" i="11"/>
  <c r="J30" i="11"/>
  <c r="M38" i="11"/>
  <c r="I38" i="11"/>
  <c r="M10" i="12"/>
  <c r="G13" i="12"/>
  <c r="Q13" i="12" s="1"/>
  <c r="C13" i="12"/>
  <c r="E13" i="12"/>
  <c r="O13" i="12" s="1"/>
  <c r="D13" i="12"/>
  <c r="N13" i="12" s="1"/>
  <c r="F13" i="12"/>
  <c r="P13" i="12" s="1"/>
  <c r="K18" i="12"/>
  <c r="L18" i="12"/>
  <c r="J23" i="12"/>
  <c r="K26" i="12"/>
  <c r="L26" i="12"/>
  <c r="K34" i="12"/>
  <c r="L34" i="12"/>
  <c r="K42" i="12"/>
  <c r="L42" i="12"/>
  <c r="J6" i="10"/>
  <c r="M6" i="10"/>
  <c r="D13" i="10"/>
  <c r="N13" i="10" s="1"/>
  <c r="M13" i="10"/>
  <c r="C15" i="10"/>
  <c r="C20" i="10"/>
  <c r="J22" i="10"/>
  <c r="M22" i="10"/>
  <c r="E24" i="10"/>
  <c r="O24" i="10" s="1"/>
  <c r="D29" i="10"/>
  <c r="N29" i="10" s="1"/>
  <c r="M29" i="10"/>
  <c r="C31" i="10"/>
  <c r="E33" i="10"/>
  <c r="O33" i="10" s="1"/>
  <c r="D35" i="10"/>
  <c r="N35" i="10" s="1"/>
  <c r="C36" i="10"/>
  <c r="J38" i="10"/>
  <c r="M38" i="10"/>
  <c r="E40" i="10"/>
  <c r="O40" i="10" s="1"/>
  <c r="I42" i="10"/>
  <c r="E5" i="11"/>
  <c r="O5" i="11" s="1"/>
  <c r="D7" i="11"/>
  <c r="N7" i="11" s="1"/>
  <c r="M8" i="11"/>
  <c r="J10" i="11"/>
  <c r="M10" i="11"/>
  <c r="E12" i="11"/>
  <c r="O12" i="11" s="1"/>
  <c r="I14" i="11"/>
  <c r="M17" i="11"/>
  <c r="M19" i="11"/>
  <c r="I19" i="11"/>
  <c r="J19" i="11" s="1"/>
  <c r="E21" i="11"/>
  <c r="O21" i="11" s="1"/>
  <c r="C29" i="11"/>
  <c r="E29" i="11"/>
  <c r="O29" i="11" s="1"/>
  <c r="N37" i="11"/>
  <c r="I37" i="11"/>
  <c r="M39" i="11"/>
  <c r="I39" i="11"/>
  <c r="J39" i="11" s="1"/>
  <c r="D40" i="11"/>
  <c r="N40" i="11" s="1"/>
  <c r="E40" i="11"/>
  <c r="O40" i="11" s="1"/>
  <c r="C40" i="11"/>
  <c r="F40" i="11"/>
  <c r="P40" i="11" s="1"/>
  <c r="L44" i="11"/>
  <c r="J44" i="11"/>
  <c r="K44" i="11"/>
  <c r="G5" i="12"/>
  <c r="Q5" i="12" s="1"/>
  <c r="C5" i="12"/>
  <c r="E5" i="12"/>
  <c r="O5" i="12" s="1"/>
  <c r="D5" i="12"/>
  <c r="N5" i="12" s="1"/>
  <c r="F5" i="12"/>
  <c r="P5" i="12" s="1"/>
  <c r="D16" i="12"/>
  <c r="N16" i="12" s="1"/>
  <c r="E16" i="12"/>
  <c r="O16" i="12" s="1"/>
  <c r="C16" i="12"/>
  <c r="F16" i="12"/>
  <c r="P16" i="12" s="1"/>
  <c r="L8" i="13"/>
  <c r="J8" i="13"/>
  <c r="K8" i="13"/>
  <c r="J17" i="13"/>
  <c r="C39" i="9"/>
  <c r="C44" i="9"/>
  <c r="D9" i="10"/>
  <c r="C11" i="10"/>
  <c r="E13" i="10"/>
  <c r="O13" i="10" s="1"/>
  <c r="D15" i="10"/>
  <c r="N15" i="10" s="1"/>
  <c r="C16" i="10"/>
  <c r="J18" i="10"/>
  <c r="E20" i="10"/>
  <c r="O20" i="10" s="1"/>
  <c r="F24" i="10"/>
  <c r="P24" i="10" s="1"/>
  <c r="D25" i="10"/>
  <c r="C27" i="10"/>
  <c r="E29" i="10"/>
  <c r="O29" i="10" s="1"/>
  <c r="D31" i="10"/>
  <c r="N31" i="10" s="1"/>
  <c r="C32" i="10"/>
  <c r="F33" i="10"/>
  <c r="P33" i="10" s="1"/>
  <c r="F35" i="10"/>
  <c r="P35" i="10" s="1"/>
  <c r="E36" i="10"/>
  <c r="O36" i="10" s="1"/>
  <c r="F40" i="10"/>
  <c r="P40" i="10" s="1"/>
  <c r="D41" i="10"/>
  <c r="C43" i="10"/>
  <c r="E45" i="10"/>
  <c r="O45" i="10" s="1"/>
  <c r="F5" i="11"/>
  <c r="P5" i="11" s="1"/>
  <c r="J6" i="11"/>
  <c r="F7" i="11"/>
  <c r="P7" i="11" s="1"/>
  <c r="E8" i="11"/>
  <c r="O8" i="11" s="1"/>
  <c r="F12" i="11"/>
  <c r="P12" i="11" s="1"/>
  <c r="D13" i="11"/>
  <c r="C15" i="11"/>
  <c r="E17" i="11"/>
  <c r="O17" i="11" s="1"/>
  <c r="D19" i="11"/>
  <c r="N19" i="11" s="1"/>
  <c r="C20" i="11"/>
  <c r="F21" i="11"/>
  <c r="P21" i="11" s="1"/>
  <c r="C25" i="11"/>
  <c r="D25" i="11"/>
  <c r="N25" i="11" s="1"/>
  <c r="E27" i="11"/>
  <c r="O27" i="11" s="1"/>
  <c r="C27" i="11"/>
  <c r="D29" i="11"/>
  <c r="N29" i="11" s="1"/>
  <c r="M30" i="11"/>
  <c r="M31" i="11"/>
  <c r="I31" i="11"/>
  <c r="J31" i="11" s="1"/>
  <c r="D32" i="11"/>
  <c r="N32" i="11" s="1"/>
  <c r="F32" i="11"/>
  <c r="P32" i="11" s="1"/>
  <c r="C32" i="11"/>
  <c r="I34" i="11"/>
  <c r="J34" i="11" s="1"/>
  <c r="M44" i="11"/>
  <c r="I45" i="11"/>
  <c r="H47" i="12"/>
  <c r="C10" i="18" s="1"/>
  <c r="D8" i="12"/>
  <c r="N8" i="12" s="1"/>
  <c r="E8" i="12"/>
  <c r="O8" i="12" s="1"/>
  <c r="C8" i="12"/>
  <c r="F8" i="12"/>
  <c r="P8" i="12" s="1"/>
  <c r="M15" i="12"/>
  <c r="G16" i="12"/>
  <c r="Q16" i="12" s="1"/>
  <c r="K10" i="13"/>
  <c r="L10" i="13"/>
  <c r="M27" i="13"/>
  <c r="M23" i="10"/>
  <c r="I23" i="10"/>
  <c r="J30" i="10"/>
  <c r="I34" i="10"/>
  <c r="M39" i="10"/>
  <c r="I39" i="10"/>
  <c r="J39" i="10" s="1"/>
  <c r="I6" i="11"/>
  <c r="M11" i="11"/>
  <c r="I11" i="11"/>
  <c r="J18" i="11"/>
  <c r="D24" i="11"/>
  <c r="N24" i="11" s="1"/>
  <c r="F24" i="11"/>
  <c r="P24" i="11" s="1"/>
  <c r="J26" i="11"/>
  <c r="I28" i="11"/>
  <c r="C33" i="11"/>
  <c r="D33" i="11"/>
  <c r="N33" i="11" s="1"/>
  <c r="F33" i="11"/>
  <c r="P33" i="11" s="1"/>
  <c r="E35" i="11"/>
  <c r="O35" i="11" s="1"/>
  <c r="C35" i="11"/>
  <c r="F35" i="11"/>
  <c r="P35" i="11" s="1"/>
  <c r="M7" i="12"/>
  <c r="K10" i="12"/>
  <c r="L10" i="12"/>
  <c r="J10" i="12"/>
  <c r="D31" i="11"/>
  <c r="N31" i="11" s="1"/>
  <c r="E36" i="11"/>
  <c r="O36" i="11" s="1"/>
  <c r="D41" i="11"/>
  <c r="C43" i="11"/>
  <c r="E45" i="11"/>
  <c r="O45" i="11" s="1"/>
  <c r="I6" i="12"/>
  <c r="G7" i="12"/>
  <c r="Q7" i="12" s="1"/>
  <c r="D9" i="12"/>
  <c r="N9" i="12" s="1"/>
  <c r="D11" i="12"/>
  <c r="N11" i="12" s="1"/>
  <c r="C12" i="12"/>
  <c r="I14" i="12"/>
  <c r="G15" i="12"/>
  <c r="Q15" i="12" s="1"/>
  <c r="D17" i="12"/>
  <c r="N17" i="12" s="1"/>
  <c r="D19" i="12"/>
  <c r="N19" i="12" s="1"/>
  <c r="C20" i="12"/>
  <c r="I22" i="12"/>
  <c r="G23" i="12"/>
  <c r="Q23" i="12" s="1"/>
  <c r="F24" i="12"/>
  <c r="P24" i="12" s="1"/>
  <c r="D25" i="12"/>
  <c r="N25" i="12" s="1"/>
  <c r="D27" i="12"/>
  <c r="N27" i="12" s="1"/>
  <c r="C28" i="12"/>
  <c r="I30" i="12"/>
  <c r="G31" i="12"/>
  <c r="Q31" i="12" s="1"/>
  <c r="F32" i="12"/>
  <c r="P32" i="12" s="1"/>
  <c r="D33" i="12"/>
  <c r="N33" i="12" s="1"/>
  <c r="D35" i="12"/>
  <c r="N35" i="12" s="1"/>
  <c r="C36" i="12"/>
  <c r="I38" i="12"/>
  <c r="G39" i="12"/>
  <c r="Q39" i="12" s="1"/>
  <c r="F40" i="12"/>
  <c r="P40" i="12" s="1"/>
  <c r="D41" i="12"/>
  <c r="N41" i="12" s="1"/>
  <c r="D43" i="12"/>
  <c r="N43" i="12" s="1"/>
  <c r="C44" i="12"/>
  <c r="D5" i="13"/>
  <c r="H47" i="13"/>
  <c r="C11" i="18" s="1"/>
  <c r="C7" i="13"/>
  <c r="E9" i="13"/>
  <c r="O9" i="13" s="1"/>
  <c r="D11" i="13"/>
  <c r="N11" i="13" s="1"/>
  <c r="C12" i="13"/>
  <c r="F13" i="13"/>
  <c r="P13" i="13" s="1"/>
  <c r="F15" i="13"/>
  <c r="P15" i="13" s="1"/>
  <c r="E16" i="13"/>
  <c r="O16" i="13" s="1"/>
  <c r="D23" i="13"/>
  <c r="N23" i="13" s="1"/>
  <c r="E23" i="13"/>
  <c r="O23" i="13" s="1"/>
  <c r="N30" i="13"/>
  <c r="I30" i="13"/>
  <c r="J30" i="13"/>
  <c r="J18" i="12"/>
  <c r="M18" i="12"/>
  <c r="G21" i="12"/>
  <c r="Q21" i="12" s="1"/>
  <c r="C21" i="12"/>
  <c r="M23" i="12"/>
  <c r="I23" i="12"/>
  <c r="G24" i="12"/>
  <c r="Q24" i="12" s="1"/>
  <c r="J26" i="12"/>
  <c r="M26" i="12"/>
  <c r="G29" i="12"/>
  <c r="Q29" i="12" s="1"/>
  <c r="C29" i="12"/>
  <c r="M31" i="12"/>
  <c r="G32" i="12"/>
  <c r="Q32" i="12" s="1"/>
  <c r="J34" i="12"/>
  <c r="M34" i="12"/>
  <c r="G37" i="12"/>
  <c r="Q37" i="12" s="1"/>
  <c r="C37" i="12"/>
  <c r="M39" i="12"/>
  <c r="I39" i="12"/>
  <c r="J39" i="12" s="1"/>
  <c r="G40" i="12"/>
  <c r="Q40" i="12" s="1"/>
  <c r="J42" i="12"/>
  <c r="M42" i="12"/>
  <c r="G45" i="12"/>
  <c r="Q45" i="12" s="1"/>
  <c r="C45" i="12"/>
  <c r="M8" i="13"/>
  <c r="J10" i="13"/>
  <c r="M10" i="13"/>
  <c r="I14" i="13"/>
  <c r="J14" i="13" s="1"/>
  <c r="D19" i="13"/>
  <c r="N19" i="13" s="1"/>
  <c r="E19" i="13"/>
  <c r="O19" i="13" s="1"/>
  <c r="M23" i="13"/>
  <c r="M26" i="13"/>
  <c r="I26" i="13"/>
  <c r="J26" i="13" s="1"/>
  <c r="E28" i="13"/>
  <c r="O28" i="13" s="1"/>
  <c r="D28" i="13"/>
  <c r="N28" i="13" s="1"/>
  <c r="F28" i="13"/>
  <c r="P28" i="13" s="1"/>
  <c r="F41" i="11"/>
  <c r="P41" i="11" s="1"/>
  <c r="J42" i="11"/>
  <c r="F43" i="11"/>
  <c r="P43" i="11" s="1"/>
  <c r="G11" i="12"/>
  <c r="Q11" i="12" s="1"/>
  <c r="F12" i="12"/>
  <c r="P12" i="12" s="1"/>
  <c r="G19" i="12"/>
  <c r="Q19" i="12" s="1"/>
  <c r="F20" i="12"/>
  <c r="P20" i="12" s="1"/>
  <c r="D21" i="12"/>
  <c r="N21" i="12" s="1"/>
  <c r="C24" i="12"/>
  <c r="G27" i="12"/>
  <c r="Q27" i="12" s="1"/>
  <c r="F28" i="12"/>
  <c r="P28" i="12" s="1"/>
  <c r="D29" i="12"/>
  <c r="N29" i="12" s="1"/>
  <c r="C32" i="12"/>
  <c r="G35" i="12"/>
  <c r="Q35" i="12" s="1"/>
  <c r="F36" i="12"/>
  <c r="P36" i="12" s="1"/>
  <c r="D37" i="12"/>
  <c r="N37" i="12" s="1"/>
  <c r="C40" i="12"/>
  <c r="G43" i="12"/>
  <c r="Q43" i="12" s="1"/>
  <c r="F44" i="12"/>
  <c r="P44" i="12" s="1"/>
  <c r="D45" i="12"/>
  <c r="N45" i="12" s="1"/>
  <c r="F5" i="13"/>
  <c r="P5" i="13" s="1"/>
  <c r="J6" i="13"/>
  <c r="F7" i="13"/>
  <c r="P7" i="13" s="1"/>
  <c r="F12" i="13"/>
  <c r="P12" i="13" s="1"/>
  <c r="D13" i="13"/>
  <c r="N13" i="13" s="1"/>
  <c r="M13" i="13"/>
  <c r="C15" i="13"/>
  <c r="I17" i="13"/>
  <c r="C19" i="13"/>
  <c r="M22" i="13"/>
  <c r="I22" i="13"/>
  <c r="J22" i="13" s="1"/>
  <c r="C24" i="13"/>
  <c r="D24" i="13"/>
  <c r="N24" i="13" s="1"/>
  <c r="C28" i="13"/>
  <c r="M32" i="13"/>
  <c r="I32" i="13"/>
  <c r="L5" i="14"/>
  <c r="K5" i="14"/>
  <c r="J5" i="14"/>
  <c r="J38" i="11"/>
  <c r="I42" i="11"/>
  <c r="J6" i="12"/>
  <c r="G9" i="12"/>
  <c r="Q9" i="12" s="1"/>
  <c r="C9" i="12"/>
  <c r="M11" i="12"/>
  <c r="I11" i="12"/>
  <c r="G12" i="12"/>
  <c r="Q12" i="12" s="1"/>
  <c r="J14" i="12"/>
  <c r="G17" i="12"/>
  <c r="Q17" i="12" s="1"/>
  <c r="C17" i="12"/>
  <c r="M19" i="12"/>
  <c r="G20" i="12"/>
  <c r="Q20" i="12" s="1"/>
  <c r="E21" i="12"/>
  <c r="O21" i="12" s="1"/>
  <c r="J22" i="12"/>
  <c r="E24" i="12"/>
  <c r="O24" i="12" s="1"/>
  <c r="G25" i="12"/>
  <c r="Q25" i="12" s="1"/>
  <c r="C25" i="12"/>
  <c r="M27" i="12"/>
  <c r="G28" i="12"/>
  <c r="Q28" i="12" s="1"/>
  <c r="E29" i="12"/>
  <c r="O29" i="12" s="1"/>
  <c r="E32" i="12"/>
  <c r="O32" i="12" s="1"/>
  <c r="G33" i="12"/>
  <c r="Q33" i="12" s="1"/>
  <c r="C33" i="12"/>
  <c r="M35" i="12"/>
  <c r="G36" i="12"/>
  <c r="Q36" i="12" s="1"/>
  <c r="E37" i="12"/>
  <c r="O37" i="12" s="1"/>
  <c r="J38" i="12"/>
  <c r="E40" i="12"/>
  <c r="O40" i="12" s="1"/>
  <c r="G41" i="12"/>
  <c r="Q41" i="12" s="1"/>
  <c r="C41" i="12"/>
  <c r="M43" i="12"/>
  <c r="G44" i="12"/>
  <c r="Q44" i="12" s="1"/>
  <c r="E45" i="12"/>
  <c r="O45" i="12" s="1"/>
  <c r="I6" i="13"/>
  <c r="M11" i="13"/>
  <c r="E13" i="13"/>
  <c r="O13" i="13" s="1"/>
  <c r="D15" i="13"/>
  <c r="N15" i="13" s="1"/>
  <c r="M18" i="13"/>
  <c r="I18" i="13"/>
  <c r="J18" i="13"/>
  <c r="F19" i="13"/>
  <c r="P19" i="13" s="1"/>
  <c r="C20" i="13"/>
  <c r="D20" i="13"/>
  <c r="N20" i="13" s="1"/>
  <c r="D27" i="13"/>
  <c r="N27" i="13" s="1"/>
  <c r="E27" i="13"/>
  <c r="O27" i="13" s="1"/>
  <c r="L35" i="13"/>
  <c r="K35" i="13"/>
  <c r="C21" i="13"/>
  <c r="C25" i="13"/>
  <c r="E29" i="13"/>
  <c r="O29" i="13" s="1"/>
  <c r="I31" i="13"/>
  <c r="F33" i="13"/>
  <c r="P33" i="13" s="1"/>
  <c r="D34" i="13"/>
  <c r="M35" i="13"/>
  <c r="E36" i="13"/>
  <c r="O36" i="13" s="1"/>
  <c r="D36" i="13"/>
  <c r="N36" i="13" s="1"/>
  <c r="D41" i="13"/>
  <c r="N41" i="13" s="1"/>
  <c r="E41" i="13"/>
  <c r="O41" i="13" s="1"/>
  <c r="M43" i="13"/>
  <c r="J35" i="13"/>
  <c r="M36" i="13"/>
  <c r="I41" i="13"/>
  <c r="I42" i="13"/>
  <c r="J43" i="13"/>
  <c r="M44" i="13"/>
  <c r="I44" i="13"/>
  <c r="I45" i="13"/>
  <c r="I7" i="14"/>
  <c r="N10" i="14"/>
  <c r="I10" i="14"/>
  <c r="D13" i="14"/>
  <c r="N13" i="14" s="1"/>
  <c r="F13" i="14"/>
  <c r="P13" i="14" s="1"/>
  <c r="E13" i="14"/>
  <c r="O13" i="14" s="1"/>
  <c r="C13" i="14"/>
  <c r="I14" i="14"/>
  <c r="C33" i="13"/>
  <c r="D37" i="13"/>
  <c r="N37" i="13" s="1"/>
  <c r="C37" i="13"/>
  <c r="C38" i="13"/>
  <c r="F38" i="13"/>
  <c r="P38" i="13" s="1"/>
  <c r="E40" i="13"/>
  <c r="O40" i="13" s="1"/>
  <c r="F40" i="13"/>
  <c r="P40" i="13" s="1"/>
  <c r="K43" i="13"/>
  <c r="E8" i="14"/>
  <c r="O8" i="14" s="1"/>
  <c r="F8" i="14"/>
  <c r="P8" i="14" s="1"/>
  <c r="D8" i="14"/>
  <c r="N8" i="14" s="1"/>
  <c r="M12" i="14"/>
  <c r="C29" i="13"/>
  <c r="J31" i="13"/>
  <c r="E33" i="13"/>
  <c r="O33" i="13" s="1"/>
  <c r="E37" i="13"/>
  <c r="O37" i="13" s="1"/>
  <c r="D38" i="13"/>
  <c r="N38" i="13" s="1"/>
  <c r="I39" i="13"/>
  <c r="J39" i="13" s="1"/>
  <c r="C40" i="13"/>
  <c r="M41" i="13"/>
  <c r="C6" i="14"/>
  <c r="F6" i="14"/>
  <c r="P6" i="14" s="1"/>
  <c r="E6" i="14"/>
  <c r="O6" i="14" s="1"/>
  <c r="C8" i="14"/>
  <c r="K15" i="14"/>
  <c r="L15" i="14"/>
  <c r="L19" i="14"/>
  <c r="K19" i="14"/>
  <c r="M17" i="14"/>
  <c r="J19" i="14"/>
  <c r="M19" i="14"/>
  <c r="I21" i="14"/>
  <c r="I23" i="14"/>
  <c r="I29" i="14"/>
  <c r="J29" i="14" s="1"/>
  <c r="K38" i="14"/>
  <c r="L38" i="14"/>
  <c r="J15" i="14"/>
  <c r="M15" i="14"/>
  <c r="D22" i="14"/>
  <c r="N22" i="14" s="1"/>
  <c r="M22" i="14"/>
  <c r="C24" i="14"/>
  <c r="C25" i="14"/>
  <c r="F25" i="14"/>
  <c r="P25" i="14" s="1"/>
  <c r="E27" i="14"/>
  <c r="O27" i="14" s="1"/>
  <c r="F27" i="14"/>
  <c r="P27" i="14" s="1"/>
  <c r="M31" i="14"/>
  <c r="I31" i="14"/>
  <c r="J31" i="14"/>
  <c r="D32" i="14"/>
  <c r="N32" i="14" s="1"/>
  <c r="E32" i="14"/>
  <c r="O32" i="14" s="1"/>
  <c r="C32" i="14"/>
  <c r="F32" i="14"/>
  <c r="P32" i="14" s="1"/>
  <c r="I34" i="14"/>
  <c r="F45" i="13"/>
  <c r="P45" i="13" s="1"/>
  <c r="C9" i="14"/>
  <c r="F10" i="14"/>
  <c r="P10" i="14" s="1"/>
  <c r="F12" i="14"/>
  <c r="P12" i="14" s="1"/>
  <c r="F17" i="14"/>
  <c r="P17" i="14" s="1"/>
  <c r="D18" i="14"/>
  <c r="N18" i="14" s="1"/>
  <c r="M18" i="14"/>
  <c r="C20" i="14"/>
  <c r="E22" i="14"/>
  <c r="O22" i="14" s="1"/>
  <c r="D24" i="14"/>
  <c r="N24" i="14" s="1"/>
  <c r="D25" i="14"/>
  <c r="N25" i="14" s="1"/>
  <c r="I26" i="14"/>
  <c r="C27" i="14"/>
  <c r="M28" i="14"/>
  <c r="L36" i="14"/>
  <c r="J36" i="14"/>
  <c r="K36" i="14"/>
  <c r="H47" i="14"/>
  <c r="C12" i="18" s="1"/>
  <c r="J7" i="14"/>
  <c r="E9" i="14"/>
  <c r="O9" i="14" s="1"/>
  <c r="I11" i="14"/>
  <c r="M16" i="14"/>
  <c r="I16" i="14"/>
  <c r="E18" i="14"/>
  <c r="O18" i="14" s="1"/>
  <c r="D20" i="14"/>
  <c r="N20" i="14" s="1"/>
  <c r="F22" i="14"/>
  <c r="P22" i="14" s="1"/>
  <c r="J23" i="14"/>
  <c r="F24" i="14"/>
  <c r="P24" i="14" s="1"/>
  <c r="E25" i="14"/>
  <c r="O25" i="14" s="1"/>
  <c r="D27" i="14"/>
  <c r="N27" i="14" s="1"/>
  <c r="D28" i="14"/>
  <c r="N28" i="14" s="1"/>
  <c r="E28" i="14"/>
  <c r="O28" i="14" s="1"/>
  <c r="J26" i="14"/>
  <c r="I30" i="14"/>
  <c r="D33" i="14"/>
  <c r="C35" i="14"/>
  <c r="E37" i="14"/>
  <c r="O37" i="14" s="1"/>
  <c r="D39" i="14"/>
  <c r="N39" i="14" s="1"/>
  <c r="C40" i="14"/>
  <c r="F41" i="14"/>
  <c r="P41" i="14" s="1"/>
  <c r="M36" i="14"/>
  <c r="J38" i="14"/>
  <c r="M38" i="14"/>
  <c r="M41" i="14"/>
  <c r="C42" i="14"/>
  <c r="E42" i="14"/>
  <c r="O42" i="14" s="1"/>
  <c r="J43" i="14"/>
  <c r="M9" i="15"/>
  <c r="I13" i="15"/>
  <c r="J34" i="14"/>
  <c r="M34" i="14"/>
  <c r="D41" i="14"/>
  <c r="N41" i="14" s="1"/>
  <c r="D42" i="14"/>
  <c r="N42" i="14" s="1"/>
  <c r="I43" i="14"/>
  <c r="L17" i="15"/>
  <c r="K17" i="15"/>
  <c r="J17" i="15"/>
  <c r="J30" i="14"/>
  <c r="D37" i="14"/>
  <c r="N37" i="14" s="1"/>
  <c r="C39" i="14"/>
  <c r="E41" i="14"/>
  <c r="O41" i="14" s="1"/>
  <c r="F42" i="14"/>
  <c r="P42" i="14" s="1"/>
  <c r="D5" i="15"/>
  <c r="N5" i="15" s="1"/>
  <c r="C5" i="15"/>
  <c r="F5" i="15"/>
  <c r="P5" i="15" s="1"/>
  <c r="E5" i="15"/>
  <c r="O5" i="15" s="1"/>
  <c r="L15" i="15"/>
  <c r="K15" i="15"/>
  <c r="C6" i="15"/>
  <c r="F6" i="15"/>
  <c r="P6" i="15" s="1"/>
  <c r="H47" i="15"/>
  <c r="C13" i="18" s="1"/>
  <c r="E8" i="15"/>
  <c r="O8" i="15" s="1"/>
  <c r="F8" i="15"/>
  <c r="P8" i="15" s="1"/>
  <c r="K11" i="15"/>
  <c r="I19" i="15"/>
  <c r="D21" i="15"/>
  <c r="N21" i="15" s="1"/>
  <c r="E21" i="15"/>
  <c r="O21" i="15" s="1"/>
  <c r="C21" i="15"/>
  <c r="I29" i="15"/>
  <c r="E44" i="14"/>
  <c r="O44" i="14" s="1"/>
  <c r="C44" i="14"/>
  <c r="D6" i="15"/>
  <c r="N6" i="15" s="1"/>
  <c r="I7" i="15"/>
  <c r="C8" i="15"/>
  <c r="M13" i="15"/>
  <c r="C14" i="15"/>
  <c r="D14" i="15"/>
  <c r="N14" i="15" s="1"/>
  <c r="E20" i="15"/>
  <c r="O20" i="15" s="1"/>
  <c r="F20" i="15"/>
  <c r="P20" i="15" s="1"/>
  <c r="D20" i="15"/>
  <c r="N20" i="15" s="1"/>
  <c r="F21" i="15"/>
  <c r="P21" i="15" s="1"/>
  <c r="I45" i="14"/>
  <c r="E6" i="15"/>
  <c r="O6" i="15" s="1"/>
  <c r="D8" i="15"/>
  <c r="N8" i="15" s="1"/>
  <c r="D9" i="15"/>
  <c r="N9" i="15" s="1"/>
  <c r="E9" i="15"/>
  <c r="O9" i="15" s="1"/>
  <c r="M11" i="15"/>
  <c r="D13" i="15"/>
  <c r="N13" i="15" s="1"/>
  <c r="F13" i="15"/>
  <c r="P13" i="15" s="1"/>
  <c r="J15" i="15"/>
  <c r="C18" i="15"/>
  <c r="F18" i="15"/>
  <c r="P18" i="15" s="1"/>
  <c r="E18" i="15"/>
  <c r="O18" i="15" s="1"/>
  <c r="M20" i="15"/>
  <c r="N22" i="15"/>
  <c r="I10" i="15"/>
  <c r="J11" i="15"/>
  <c r="M12" i="15"/>
  <c r="I12" i="15"/>
  <c r="E16" i="15"/>
  <c r="O16" i="15" s="1"/>
  <c r="D16" i="15"/>
  <c r="N16" i="15" s="1"/>
  <c r="C16" i="15"/>
  <c r="F22" i="15"/>
  <c r="P22" i="15" s="1"/>
  <c r="F24" i="15"/>
  <c r="P24" i="15" s="1"/>
  <c r="E25" i="15"/>
  <c r="O25" i="15" s="1"/>
  <c r="I27" i="15"/>
  <c r="F29" i="15"/>
  <c r="P29" i="15" s="1"/>
  <c r="D30" i="15"/>
  <c r="N30" i="15" s="1"/>
  <c r="M30" i="15"/>
  <c r="C33" i="15"/>
  <c r="C38" i="15"/>
  <c r="D38" i="15"/>
  <c r="N38" i="15" s="1"/>
  <c r="J19" i="15"/>
  <c r="I23" i="15"/>
  <c r="J23" i="15" s="1"/>
  <c r="F25" i="15"/>
  <c r="P25" i="15" s="1"/>
  <c r="M28" i="15"/>
  <c r="I28" i="15"/>
  <c r="E30" i="15"/>
  <c r="O30" i="15" s="1"/>
  <c r="C34" i="15"/>
  <c r="D34" i="15"/>
  <c r="N34" i="15" s="1"/>
  <c r="M36" i="15"/>
  <c r="N39" i="15"/>
  <c r="I39" i="15"/>
  <c r="D45" i="15"/>
  <c r="N45" i="15" s="1"/>
  <c r="C45" i="15"/>
  <c r="E45" i="15"/>
  <c r="O45" i="15" s="1"/>
  <c r="M24" i="15"/>
  <c r="I26" i="15"/>
  <c r="M29" i="15"/>
  <c r="M32" i="15"/>
  <c r="I35" i="15"/>
  <c r="D37" i="15"/>
  <c r="N37" i="15" s="1"/>
  <c r="E37" i="15"/>
  <c r="O37" i="15" s="1"/>
  <c r="D41" i="15"/>
  <c r="N41" i="15" s="1"/>
  <c r="C41" i="15"/>
  <c r="E41" i="15"/>
  <c r="O41" i="15" s="1"/>
  <c r="C25" i="15"/>
  <c r="J27" i="15"/>
  <c r="I31" i="15"/>
  <c r="D33" i="15"/>
  <c r="N33" i="15" s="1"/>
  <c r="E33" i="15"/>
  <c r="O33" i="15" s="1"/>
  <c r="C37" i="15"/>
  <c r="M40" i="15"/>
  <c r="I40" i="15"/>
  <c r="J40" i="15" s="1"/>
  <c r="F41" i="15"/>
  <c r="P41" i="15" s="1"/>
  <c r="M44" i="15"/>
  <c r="F32" i="15"/>
  <c r="P32" i="15" s="1"/>
  <c r="F36" i="15"/>
  <c r="P36" i="15" s="1"/>
  <c r="F40" i="15"/>
  <c r="P40" i="15" s="1"/>
  <c r="D42" i="15"/>
  <c r="N42" i="15" s="1"/>
  <c r="F44" i="15"/>
  <c r="P44" i="15" s="1"/>
  <c r="F13" i="17"/>
  <c r="F12" i="18" s="1"/>
  <c r="F5" i="17"/>
  <c r="F7" i="17"/>
  <c r="F6" i="18" s="1"/>
  <c r="F9" i="17"/>
  <c r="F8" i="18" s="1"/>
  <c r="F11" i="17"/>
  <c r="F10" i="18" s="1"/>
  <c r="F14" i="17"/>
  <c r="F13" i="18" s="1"/>
  <c r="F42" i="15"/>
  <c r="P42" i="15" s="1"/>
  <c r="I43" i="15"/>
  <c r="J43" i="15" s="1"/>
  <c r="D44" i="15"/>
  <c r="N44" i="15" s="1"/>
  <c r="F6" i="17"/>
  <c r="F5" i="18" s="1"/>
  <c r="F8" i="17"/>
  <c r="F7" i="18" s="1"/>
  <c r="F10" i="17"/>
  <c r="F9" i="18" s="1"/>
  <c r="F12" i="17"/>
  <c r="F11" i="18" s="1"/>
  <c r="O6" i="20"/>
  <c r="O9" i="20"/>
  <c r="C18" i="20"/>
  <c r="O5" i="20"/>
  <c r="D43" i="19"/>
  <c r="D19" i="19"/>
  <c r="D35" i="19"/>
  <c r="D36" i="19"/>
  <c r="D7" i="19"/>
  <c r="D27" i="19"/>
  <c r="D31" i="19"/>
  <c r="D39" i="19"/>
  <c r="D23" i="19"/>
  <c r="E39" i="19"/>
  <c r="D11" i="19"/>
  <c r="D15" i="19"/>
  <c r="E43" i="19"/>
  <c r="E19" i="19"/>
  <c r="E35" i="19"/>
  <c r="E23" i="19"/>
  <c r="K35" i="15" l="1"/>
  <c r="L35" i="15"/>
  <c r="K39" i="15"/>
  <c r="L39" i="15"/>
  <c r="I6" i="15"/>
  <c r="M6" i="15"/>
  <c r="M24" i="14"/>
  <c r="I24" i="14"/>
  <c r="M29" i="13"/>
  <c r="I29" i="13"/>
  <c r="L45" i="13"/>
  <c r="K45" i="13"/>
  <c r="J45" i="13"/>
  <c r="K42" i="13"/>
  <c r="L42" i="13"/>
  <c r="J42" i="13"/>
  <c r="M33" i="12"/>
  <c r="I33" i="12"/>
  <c r="M17" i="12"/>
  <c r="I17" i="12"/>
  <c r="L11" i="12"/>
  <c r="K11" i="12"/>
  <c r="K32" i="13"/>
  <c r="L32" i="13"/>
  <c r="I29" i="12"/>
  <c r="M29" i="12"/>
  <c r="L30" i="12"/>
  <c r="K30" i="12"/>
  <c r="M44" i="9"/>
  <c r="I44" i="9"/>
  <c r="I29" i="11"/>
  <c r="M29" i="11"/>
  <c r="L14" i="9"/>
  <c r="K14" i="9"/>
  <c r="I25" i="9"/>
  <c r="M25" i="9"/>
  <c r="M5" i="9"/>
  <c r="I5" i="9"/>
  <c r="L19" i="9"/>
  <c r="K19" i="9"/>
  <c r="J19" i="9"/>
  <c r="L16" i="9"/>
  <c r="K16" i="9"/>
  <c r="J16" i="9"/>
  <c r="K17" i="11"/>
  <c r="J17" i="11"/>
  <c r="L17" i="11"/>
  <c r="L7" i="10"/>
  <c r="K7" i="10"/>
  <c r="I41" i="9"/>
  <c r="M41" i="9"/>
  <c r="L30" i="9"/>
  <c r="K30" i="9"/>
  <c r="M26" i="8"/>
  <c r="I26" i="8"/>
  <c r="M9" i="8"/>
  <c r="I9" i="8"/>
  <c r="M33" i="7"/>
  <c r="I33" i="7"/>
  <c r="M17" i="7"/>
  <c r="I17" i="7"/>
  <c r="M37" i="6"/>
  <c r="I37" i="6"/>
  <c r="M25" i="6"/>
  <c r="I25" i="6"/>
  <c r="L15" i="7"/>
  <c r="K15" i="7"/>
  <c r="M41" i="8"/>
  <c r="I41" i="8"/>
  <c r="K31" i="8"/>
  <c r="L31" i="8"/>
  <c r="M8" i="8"/>
  <c r="I8" i="8"/>
  <c r="M40" i="7"/>
  <c r="I40" i="7"/>
  <c r="M32" i="7"/>
  <c r="I32" i="7"/>
  <c r="M24" i="7"/>
  <c r="I24" i="7"/>
  <c r="M16" i="7"/>
  <c r="I16" i="7"/>
  <c r="M8" i="7"/>
  <c r="I8" i="7"/>
  <c r="I45" i="6"/>
  <c r="M45" i="6"/>
  <c r="M21" i="6"/>
  <c r="I21" i="6"/>
  <c r="L15" i="6"/>
  <c r="K15" i="6"/>
  <c r="K11" i="6"/>
  <c r="L11" i="6"/>
  <c r="M5" i="6"/>
  <c r="I5" i="6"/>
  <c r="L7" i="8"/>
  <c r="K7" i="8"/>
  <c r="L39" i="7"/>
  <c r="K39" i="7"/>
  <c r="J7" i="10"/>
  <c r="L27" i="8"/>
  <c r="K27" i="8"/>
  <c r="J39" i="7"/>
  <c r="I34" i="7"/>
  <c r="M34" i="7"/>
  <c r="I20" i="7"/>
  <c r="I6" i="8"/>
  <c r="I37" i="7"/>
  <c r="I21" i="7"/>
  <c r="I5" i="7"/>
  <c r="J35" i="15"/>
  <c r="M38" i="15"/>
  <c r="I38" i="15"/>
  <c r="I9" i="14"/>
  <c r="M9" i="14"/>
  <c r="I33" i="13"/>
  <c r="M33" i="13"/>
  <c r="L11" i="11"/>
  <c r="K11" i="11"/>
  <c r="J11" i="12"/>
  <c r="K45" i="11"/>
  <c r="L45" i="11"/>
  <c r="J45" i="11"/>
  <c r="N13" i="11"/>
  <c r="I13" i="11"/>
  <c r="I5" i="12"/>
  <c r="M5" i="12"/>
  <c r="M7" i="11"/>
  <c r="I7" i="11"/>
  <c r="L44" i="10"/>
  <c r="K44" i="10"/>
  <c r="J44" i="10"/>
  <c r="I27" i="9"/>
  <c r="I44" i="15"/>
  <c r="K31" i="15"/>
  <c r="L31" i="15"/>
  <c r="I32" i="15"/>
  <c r="K26" i="15"/>
  <c r="J26" i="15"/>
  <c r="L26" i="15"/>
  <c r="K28" i="15"/>
  <c r="J28" i="15"/>
  <c r="L28" i="15"/>
  <c r="M5" i="15"/>
  <c r="I5" i="15"/>
  <c r="M39" i="14"/>
  <c r="I39" i="14"/>
  <c r="I40" i="14"/>
  <c r="M40" i="14"/>
  <c r="M35" i="14"/>
  <c r="I35" i="14"/>
  <c r="K26" i="14"/>
  <c r="L26" i="14"/>
  <c r="M20" i="14"/>
  <c r="I20" i="14"/>
  <c r="I32" i="14"/>
  <c r="M32" i="14"/>
  <c r="K31" i="14"/>
  <c r="L31" i="14"/>
  <c r="I41" i="14"/>
  <c r="I28" i="14"/>
  <c r="M8" i="14"/>
  <c r="I8" i="14"/>
  <c r="I17" i="14"/>
  <c r="I38" i="13"/>
  <c r="M38" i="13"/>
  <c r="L44" i="13"/>
  <c r="K44" i="13"/>
  <c r="L41" i="13"/>
  <c r="K41" i="13"/>
  <c r="J41" i="13"/>
  <c r="L31" i="13"/>
  <c r="K31" i="13"/>
  <c r="L18" i="13"/>
  <c r="K18" i="13"/>
  <c r="I11" i="13"/>
  <c r="K42" i="11"/>
  <c r="L42" i="11"/>
  <c r="M19" i="13"/>
  <c r="I19" i="13"/>
  <c r="I40" i="12"/>
  <c r="M40" i="12"/>
  <c r="I32" i="12"/>
  <c r="M32" i="12"/>
  <c r="I24" i="12"/>
  <c r="M24" i="12"/>
  <c r="I37" i="12"/>
  <c r="M37" i="12"/>
  <c r="K23" i="12"/>
  <c r="L23" i="12"/>
  <c r="K30" i="13"/>
  <c r="L30" i="13"/>
  <c r="I44" i="12"/>
  <c r="M44" i="12"/>
  <c r="I28" i="12"/>
  <c r="M28" i="12"/>
  <c r="L34" i="10"/>
  <c r="K34" i="10"/>
  <c r="I27" i="13"/>
  <c r="N41" i="10"/>
  <c r="I41" i="10"/>
  <c r="J34" i="10"/>
  <c r="M39" i="9"/>
  <c r="I39" i="9"/>
  <c r="I13" i="13"/>
  <c r="I21" i="11"/>
  <c r="L42" i="10"/>
  <c r="K42" i="10"/>
  <c r="I36" i="10"/>
  <c r="M36" i="10"/>
  <c r="L38" i="11"/>
  <c r="K38" i="11"/>
  <c r="K26" i="11"/>
  <c r="L26" i="11"/>
  <c r="L18" i="11"/>
  <c r="K18" i="11"/>
  <c r="K37" i="10"/>
  <c r="L37" i="10"/>
  <c r="L30" i="10"/>
  <c r="K30" i="10"/>
  <c r="I24" i="10"/>
  <c r="M24" i="10"/>
  <c r="M29" i="9"/>
  <c r="I29" i="9"/>
  <c r="M21" i="9"/>
  <c r="I21" i="9"/>
  <c r="M19" i="10"/>
  <c r="I19" i="10"/>
  <c r="L18" i="10"/>
  <c r="K18" i="10"/>
  <c r="I17" i="10"/>
  <c r="M17" i="10"/>
  <c r="I13" i="9"/>
  <c r="M13" i="9"/>
  <c r="M7" i="9"/>
  <c r="I7" i="9"/>
  <c r="I11" i="9"/>
  <c r="I11" i="20" s="1"/>
  <c r="I9" i="9"/>
  <c r="M9" i="9"/>
  <c r="L39" i="8"/>
  <c r="K39" i="8"/>
  <c r="J11" i="11"/>
  <c r="L40" i="9"/>
  <c r="K40" i="9"/>
  <c r="J40" i="9"/>
  <c r="L24" i="9"/>
  <c r="K24" i="9"/>
  <c r="J24" i="9"/>
  <c r="L43" i="8"/>
  <c r="K43" i="8"/>
  <c r="L32" i="8"/>
  <c r="K32" i="8"/>
  <c r="J32" i="8"/>
  <c r="I33" i="8"/>
  <c r="M25" i="8"/>
  <c r="I25" i="8"/>
  <c r="M20" i="8"/>
  <c r="I20" i="8"/>
  <c r="I40" i="6"/>
  <c r="K23" i="6"/>
  <c r="L23" i="6"/>
  <c r="M9" i="6"/>
  <c r="I9" i="6"/>
  <c r="I44" i="6"/>
  <c r="M32" i="6"/>
  <c r="I32" i="6"/>
  <c r="M8" i="6"/>
  <c r="I8" i="6"/>
  <c r="K30" i="8"/>
  <c r="L30" i="8"/>
  <c r="J30" i="8"/>
  <c r="I22" i="8"/>
  <c r="M22" i="8"/>
  <c r="I13" i="8"/>
  <c r="M13" i="8"/>
  <c r="I38" i="7"/>
  <c r="M38" i="7"/>
  <c r="I30" i="7"/>
  <c r="M30" i="7"/>
  <c r="I22" i="7"/>
  <c r="M22" i="7"/>
  <c r="I14" i="7"/>
  <c r="M14" i="7"/>
  <c r="I6" i="7"/>
  <c r="M6" i="7"/>
  <c r="I39" i="20"/>
  <c r="L39" i="6"/>
  <c r="K39" i="6"/>
  <c r="L31" i="6"/>
  <c r="K31" i="6"/>
  <c r="L27" i="6"/>
  <c r="K27" i="6"/>
  <c r="L7" i="6"/>
  <c r="K7" i="6"/>
  <c r="M28" i="6"/>
  <c r="I28" i="6"/>
  <c r="K14" i="8"/>
  <c r="L14" i="8"/>
  <c r="L5" i="8"/>
  <c r="K5" i="8"/>
  <c r="J5" i="8"/>
  <c r="M12" i="6"/>
  <c r="I12" i="6"/>
  <c r="I38" i="8"/>
  <c r="L21" i="8"/>
  <c r="K21" i="8"/>
  <c r="J21" i="8"/>
  <c r="L11" i="8"/>
  <c r="K11" i="8"/>
  <c r="I42" i="7"/>
  <c r="M42" i="7"/>
  <c r="I28" i="7"/>
  <c r="J15" i="7"/>
  <c r="I10" i="7"/>
  <c r="M10" i="7"/>
  <c r="I17" i="8"/>
  <c r="J14" i="8"/>
  <c r="J31" i="6"/>
  <c r="J15" i="6"/>
  <c r="J11" i="6"/>
  <c r="I6" i="6"/>
  <c r="J27" i="6"/>
  <c r="I18" i="15"/>
  <c r="M18" i="15"/>
  <c r="L16" i="14"/>
  <c r="K16" i="14"/>
  <c r="J16" i="14"/>
  <c r="I6" i="14"/>
  <c r="M6" i="14"/>
  <c r="K10" i="14"/>
  <c r="L10" i="14"/>
  <c r="I21" i="13"/>
  <c r="M21" i="13"/>
  <c r="M41" i="12"/>
  <c r="I41" i="12"/>
  <c r="M25" i="12"/>
  <c r="I25" i="12"/>
  <c r="I24" i="13"/>
  <c r="M24" i="13"/>
  <c r="N5" i="13"/>
  <c r="I5" i="13"/>
  <c r="I20" i="11"/>
  <c r="M20" i="11"/>
  <c r="I16" i="12"/>
  <c r="M16" i="12"/>
  <c r="K37" i="11"/>
  <c r="L37" i="11"/>
  <c r="I40" i="10"/>
  <c r="M40" i="10"/>
  <c r="K29" i="10"/>
  <c r="J29" i="10"/>
  <c r="L29" i="10"/>
  <c r="I45" i="9"/>
  <c r="M45" i="9"/>
  <c r="L10" i="9"/>
  <c r="K10" i="9"/>
  <c r="M45" i="15"/>
  <c r="I45" i="15"/>
  <c r="L45" i="14"/>
  <c r="K45" i="14"/>
  <c r="J45" i="14"/>
  <c r="M14" i="15"/>
  <c r="I14" i="15"/>
  <c r="I21" i="15"/>
  <c r="M21" i="15"/>
  <c r="L19" i="15"/>
  <c r="K19" i="15"/>
  <c r="F16" i="17"/>
  <c r="F4" i="18"/>
  <c r="M37" i="15"/>
  <c r="I37" i="15"/>
  <c r="I24" i="15"/>
  <c r="I36" i="15"/>
  <c r="I34" i="15"/>
  <c r="M34" i="15"/>
  <c r="J39" i="15"/>
  <c r="M33" i="15"/>
  <c r="I33" i="15"/>
  <c r="L27" i="15"/>
  <c r="K27" i="15"/>
  <c r="K10" i="15"/>
  <c r="L10" i="15"/>
  <c r="J10" i="15"/>
  <c r="I22" i="15"/>
  <c r="M44" i="14"/>
  <c r="I44" i="14"/>
  <c r="I9" i="15"/>
  <c r="I42" i="14"/>
  <c r="M42" i="14"/>
  <c r="N33" i="14"/>
  <c r="I33" i="14"/>
  <c r="L11" i="14"/>
  <c r="K11" i="14"/>
  <c r="J11" i="14"/>
  <c r="L23" i="14"/>
  <c r="K23" i="14"/>
  <c r="M40" i="13"/>
  <c r="I40" i="13"/>
  <c r="I12" i="14"/>
  <c r="M37" i="13"/>
  <c r="I37" i="13"/>
  <c r="K14" i="14"/>
  <c r="L14" i="14"/>
  <c r="J14" i="14"/>
  <c r="I36" i="13"/>
  <c r="I18" i="14"/>
  <c r="M20" i="13"/>
  <c r="I20" i="13"/>
  <c r="I43" i="12"/>
  <c r="I35" i="12"/>
  <c r="I27" i="12"/>
  <c r="I19" i="12"/>
  <c r="M9" i="12"/>
  <c r="I9" i="12"/>
  <c r="M28" i="13"/>
  <c r="I28" i="13"/>
  <c r="K22" i="13"/>
  <c r="L22" i="13"/>
  <c r="K17" i="13"/>
  <c r="L17" i="13"/>
  <c r="J44" i="13"/>
  <c r="I23" i="13"/>
  <c r="L14" i="13"/>
  <c r="K14" i="13"/>
  <c r="I45" i="12"/>
  <c r="M45" i="12"/>
  <c r="I31" i="12"/>
  <c r="I16" i="13"/>
  <c r="M7" i="13"/>
  <c r="I7" i="13"/>
  <c r="L38" i="12"/>
  <c r="K38" i="12"/>
  <c r="L22" i="12"/>
  <c r="K22" i="12"/>
  <c r="M43" i="11"/>
  <c r="I43" i="11"/>
  <c r="M35" i="11"/>
  <c r="I35" i="11"/>
  <c r="M33" i="11"/>
  <c r="I33" i="11"/>
  <c r="L6" i="11"/>
  <c r="K6" i="11"/>
  <c r="I15" i="12"/>
  <c r="I8" i="12"/>
  <c r="M8" i="12"/>
  <c r="K34" i="11"/>
  <c r="L34" i="11"/>
  <c r="M25" i="11"/>
  <c r="I25" i="11"/>
  <c r="M27" i="10"/>
  <c r="I27" i="10"/>
  <c r="M11" i="10"/>
  <c r="I11" i="10"/>
  <c r="J30" i="9"/>
  <c r="I40" i="11"/>
  <c r="M40" i="11"/>
  <c r="K39" i="11"/>
  <c r="L39" i="11"/>
  <c r="L14" i="11"/>
  <c r="K14" i="11"/>
  <c r="I20" i="10"/>
  <c r="M20" i="10"/>
  <c r="I13" i="12"/>
  <c r="M13" i="12"/>
  <c r="M24" i="11"/>
  <c r="I24" i="11"/>
  <c r="L22" i="11"/>
  <c r="K22" i="11"/>
  <c r="L16" i="11"/>
  <c r="K16" i="11"/>
  <c r="J16" i="11"/>
  <c r="I12" i="11"/>
  <c r="M12" i="11"/>
  <c r="M35" i="10"/>
  <c r="I35" i="10"/>
  <c r="L28" i="10"/>
  <c r="K28" i="10"/>
  <c r="J28" i="10"/>
  <c r="K21" i="10"/>
  <c r="L21" i="10"/>
  <c r="J21" i="10"/>
  <c r="M28" i="9"/>
  <c r="I28" i="9"/>
  <c r="M23" i="9"/>
  <c r="I23" i="9"/>
  <c r="P42" i="8"/>
  <c r="I42" i="8"/>
  <c r="K38" i="9"/>
  <c r="L38" i="9"/>
  <c r="K33" i="9"/>
  <c r="L33" i="9"/>
  <c r="M12" i="9"/>
  <c r="I12" i="9"/>
  <c r="I33" i="10"/>
  <c r="L6" i="10"/>
  <c r="K6" i="10"/>
  <c r="K22" i="9"/>
  <c r="L22" i="9"/>
  <c r="M43" i="9"/>
  <c r="I43" i="9"/>
  <c r="I31" i="9"/>
  <c r="I31" i="20" s="1"/>
  <c r="J22" i="9"/>
  <c r="N18" i="8"/>
  <c r="I18" i="8"/>
  <c r="M41" i="7"/>
  <c r="I41" i="7"/>
  <c r="M25" i="7"/>
  <c r="I25" i="7"/>
  <c r="M9" i="7"/>
  <c r="I9" i="7"/>
  <c r="L36" i="6"/>
  <c r="K36" i="6"/>
  <c r="J36" i="6"/>
  <c r="I35" i="20"/>
  <c r="L35" i="6"/>
  <c r="K35" i="6"/>
  <c r="K35" i="8"/>
  <c r="L35" i="8"/>
  <c r="M34" i="8"/>
  <c r="I34" i="8"/>
  <c r="M24" i="8"/>
  <c r="I24" i="8"/>
  <c r="I19" i="20"/>
  <c r="L19" i="6"/>
  <c r="K19" i="6"/>
  <c r="M13" i="6"/>
  <c r="I13" i="6"/>
  <c r="L7" i="7"/>
  <c r="K7" i="7"/>
  <c r="I36" i="9"/>
  <c r="I45" i="8"/>
  <c r="I29" i="8"/>
  <c r="I12" i="8"/>
  <c r="L37" i="8"/>
  <c r="K37" i="8"/>
  <c r="J37" i="8"/>
  <c r="I28" i="8"/>
  <c r="L16" i="8"/>
  <c r="K16" i="8"/>
  <c r="J16" i="8"/>
  <c r="I36" i="7"/>
  <c r="I18" i="7"/>
  <c r="M18" i="7"/>
  <c r="J7" i="6"/>
  <c r="I10" i="6"/>
  <c r="I45" i="7"/>
  <c r="I29" i="7"/>
  <c r="I13" i="7"/>
  <c r="I38" i="6"/>
  <c r="I22" i="6"/>
  <c r="K43" i="15"/>
  <c r="L43" i="15"/>
  <c r="L40" i="15"/>
  <c r="K40" i="15"/>
  <c r="L23" i="15"/>
  <c r="K23" i="15"/>
  <c r="M16" i="15"/>
  <c r="I16" i="15"/>
  <c r="I30" i="15"/>
  <c r="I20" i="15"/>
  <c r="K7" i="15"/>
  <c r="L7" i="15"/>
  <c r="L29" i="15"/>
  <c r="K29" i="15"/>
  <c r="J29" i="15"/>
  <c r="L13" i="15"/>
  <c r="J13" i="15"/>
  <c r="K13" i="15"/>
  <c r="M27" i="14"/>
  <c r="I27" i="14"/>
  <c r="K29" i="14"/>
  <c r="L29" i="14"/>
  <c r="I22" i="14"/>
  <c r="M12" i="12"/>
  <c r="I12" i="12"/>
  <c r="L6" i="12"/>
  <c r="K6" i="12"/>
  <c r="M32" i="11"/>
  <c r="I32" i="11"/>
  <c r="M43" i="10"/>
  <c r="I43" i="10"/>
  <c r="M31" i="10"/>
  <c r="I31" i="10"/>
  <c r="K45" i="10"/>
  <c r="J45" i="10"/>
  <c r="L45" i="10"/>
  <c r="K10" i="10"/>
  <c r="L10" i="10"/>
  <c r="M25" i="15"/>
  <c r="I25" i="15"/>
  <c r="M41" i="15"/>
  <c r="I41" i="15"/>
  <c r="J31" i="15"/>
  <c r="J7" i="15"/>
  <c r="L12" i="15"/>
  <c r="K12" i="15"/>
  <c r="I42" i="15"/>
  <c r="M8" i="15"/>
  <c r="I8" i="15"/>
  <c r="K43" i="14"/>
  <c r="L43" i="14"/>
  <c r="J12" i="15"/>
  <c r="I37" i="14"/>
  <c r="K30" i="14"/>
  <c r="L30" i="14"/>
  <c r="K34" i="14"/>
  <c r="L34" i="14"/>
  <c r="I25" i="14"/>
  <c r="M25" i="14"/>
  <c r="L21" i="14"/>
  <c r="K21" i="14"/>
  <c r="J21" i="14"/>
  <c r="L39" i="13"/>
  <c r="K39" i="13"/>
  <c r="I13" i="14"/>
  <c r="M13" i="14"/>
  <c r="L7" i="14"/>
  <c r="K7" i="14"/>
  <c r="J10" i="14"/>
  <c r="N34" i="13"/>
  <c r="I34" i="13"/>
  <c r="I25" i="13"/>
  <c r="M25" i="13"/>
  <c r="L6" i="13"/>
  <c r="K6" i="13"/>
  <c r="J30" i="12"/>
  <c r="J32" i="13"/>
  <c r="M15" i="13"/>
  <c r="I15" i="13"/>
  <c r="L26" i="13"/>
  <c r="K26" i="13"/>
  <c r="K39" i="12"/>
  <c r="L39" i="12"/>
  <c r="I21" i="12"/>
  <c r="M21" i="12"/>
  <c r="I12" i="13"/>
  <c r="M12" i="13"/>
  <c r="I36" i="12"/>
  <c r="M36" i="12"/>
  <c r="I20" i="12"/>
  <c r="M20" i="12"/>
  <c r="L14" i="12"/>
  <c r="K14" i="12"/>
  <c r="I41" i="11"/>
  <c r="N41" i="11"/>
  <c r="I7" i="12"/>
  <c r="L28" i="11"/>
  <c r="K28" i="11"/>
  <c r="J28" i="11"/>
  <c r="L39" i="10"/>
  <c r="K39" i="10"/>
  <c r="L23" i="10"/>
  <c r="K23" i="10"/>
  <c r="L31" i="11"/>
  <c r="K31" i="11"/>
  <c r="M27" i="11"/>
  <c r="I27" i="11"/>
  <c r="M15" i="11"/>
  <c r="I15" i="11"/>
  <c r="I32" i="10"/>
  <c r="M32" i="10"/>
  <c r="N25" i="10"/>
  <c r="I25" i="10"/>
  <c r="M16" i="10"/>
  <c r="I16" i="10"/>
  <c r="N9" i="10"/>
  <c r="I9" i="10"/>
  <c r="J14" i="9"/>
  <c r="I9" i="13"/>
  <c r="K19" i="11"/>
  <c r="L19" i="11"/>
  <c r="M15" i="10"/>
  <c r="I15" i="10"/>
  <c r="I36" i="11"/>
  <c r="L23" i="11"/>
  <c r="K23" i="11"/>
  <c r="J23" i="11"/>
  <c r="K9" i="11"/>
  <c r="L9" i="11"/>
  <c r="I5" i="11"/>
  <c r="M15" i="9"/>
  <c r="I15" i="9"/>
  <c r="I15" i="20" s="1"/>
  <c r="I8" i="10"/>
  <c r="L35" i="9"/>
  <c r="K35" i="9"/>
  <c r="I32" i="9"/>
  <c r="I8" i="11"/>
  <c r="I13" i="10"/>
  <c r="J38" i="9"/>
  <c r="M20" i="9"/>
  <c r="I20" i="9"/>
  <c r="L18" i="9"/>
  <c r="K18" i="9"/>
  <c r="J10" i="9"/>
  <c r="I44" i="8"/>
  <c r="J37" i="11"/>
  <c r="J23" i="10"/>
  <c r="M37" i="9"/>
  <c r="I37" i="9"/>
  <c r="K6" i="9"/>
  <c r="L6" i="9"/>
  <c r="I17" i="6"/>
  <c r="M17" i="6"/>
  <c r="L23" i="7"/>
  <c r="K23" i="7"/>
  <c r="M20" i="6"/>
  <c r="I20" i="6"/>
  <c r="J31" i="8"/>
  <c r="M41" i="6"/>
  <c r="I41" i="6"/>
  <c r="M33" i="6"/>
  <c r="I33" i="6"/>
  <c r="M29" i="6"/>
  <c r="I29" i="6"/>
  <c r="M16" i="6"/>
  <c r="I16" i="6"/>
  <c r="I40" i="8"/>
  <c r="M36" i="8"/>
  <c r="I36" i="8"/>
  <c r="L31" i="7"/>
  <c r="K31" i="7"/>
  <c r="M24" i="6"/>
  <c r="I24" i="6"/>
  <c r="I47" i="10"/>
  <c r="J7" i="8"/>
  <c r="I44" i="7"/>
  <c r="J31" i="7"/>
  <c r="I26" i="7"/>
  <c r="M26" i="7"/>
  <c r="I12" i="7"/>
  <c r="I43" i="20"/>
  <c r="L43" i="6"/>
  <c r="K43" i="6"/>
  <c r="I34" i="6"/>
  <c r="I18" i="6"/>
  <c r="I30" i="6"/>
  <c r="I14" i="6"/>
  <c r="I10" i="8"/>
  <c r="I47" i="8" s="1"/>
  <c r="I42" i="6"/>
  <c r="I26" i="6"/>
  <c r="D25" i="19"/>
  <c r="F15" i="19"/>
  <c r="F11" i="19"/>
  <c r="D9" i="19"/>
  <c r="F39" i="19"/>
  <c r="D28" i="19"/>
  <c r="D12" i="19"/>
  <c r="E11" i="19"/>
  <c r="F36" i="19"/>
  <c r="F35" i="19"/>
  <c r="D13" i="19"/>
  <c r="D22" i="19"/>
  <c r="D33" i="19"/>
  <c r="D16" i="19"/>
  <c r="F43" i="19"/>
  <c r="D44" i="19"/>
  <c r="D8" i="19"/>
  <c r="F7" i="19"/>
  <c r="D6" i="19"/>
  <c r="F19" i="19"/>
  <c r="D14" i="19"/>
  <c r="D26" i="19"/>
  <c r="D37" i="19"/>
  <c r="D21" i="19"/>
  <c r="D5" i="19"/>
  <c r="F23" i="19"/>
  <c r="F27" i="19"/>
  <c r="E31" i="19"/>
  <c r="E27" i="19"/>
  <c r="E36" i="19"/>
  <c r="E7" i="19"/>
  <c r="D17" i="19"/>
  <c r="D41" i="19"/>
  <c r="D29" i="19"/>
  <c r="D34" i="19"/>
  <c r="D30" i="19"/>
  <c r="D45" i="19"/>
  <c r="D40" i="19"/>
  <c r="D32" i="19"/>
  <c r="F31" i="19"/>
  <c r="E15" i="19"/>
  <c r="D10" i="19"/>
  <c r="D38" i="19"/>
  <c r="D20" i="19"/>
  <c r="D24" i="19"/>
  <c r="D18" i="19"/>
  <c r="D42" i="19"/>
  <c r="D6" i="18" l="1"/>
  <c r="H6" i="18" s="1"/>
  <c r="C7" i="17"/>
  <c r="E7" i="17" s="1"/>
  <c r="I42" i="20"/>
  <c r="K42" i="6"/>
  <c r="L42" i="6"/>
  <c r="J42" i="6"/>
  <c r="I18" i="20"/>
  <c r="K18" i="6"/>
  <c r="L18" i="6"/>
  <c r="J18" i="6"/>
  <c r="I24" i="20"/>
  <c r="L24" i="6"/>
  <c r="J24" i="6"/>
  <c r="K24" i="6"/>
  <c r="K36" i="8"/>
  <c r="J36" i="8"/>
  <c r="L36" i="8"/>
  <c r="I20" i="20"/>
  <c r="K20" i="6"/>
  <c r="L20" i="6"/>
  <c r="J20" i="6"/>
  <c r="K37" i="9"/>
  <c r="L37" i="9"/>
  <c r="J37" i="9"/>
  <c r="K44" i="8"/>
  <c r="J44" i="8"/>
  <c r="L44" i="8"/>
  <c r="L20" i="9"/>
  <c r="J20" i="9"/>
  <c r="K20" i="9"/>
  <c r="L8" i="11"/>
  <c r="J8" i="11"/>
  <c r="K8" i="11"/>
  <c r="L8" i="10"/>
  <c r="J8" i="10"/>
  <c r="K8" i="10"/>
  <c r="K9" i="10"/>
  <c r="L9" i="10"/>
  <c r="J9" i="10"/>
  <c r="K25" i="10"/>
  <c r="L25" i="10"/>
  <c r="J25" i="10"/>
  <c r="J15" i="11"/>
  <c r="L15" i="11"/>
  <c r="K15" i="11"/>
  <c r="K25" i="14"/>
  <c r="L25" i="14"/>
  <c r="J25" i="14"/>
  <c r="L41" i="15"/>
  <c r="K41" i="15"/>
  <c r="J41" i="15"/>
  <c r="K22" i="14"/>
  <c r="L22" i="14"/>
  <c r="J22" i="14"/>
  <c r="I38" i="20"/>
  <c r="K38" i="6"/>
  <c r="L38" i="6"/>
  <c r="J38" i="6"/>
  <c r="I10" i="20"/>
  <c r="K10" i="6"/>
  <c r="L10" i="6"/>
  <c r="J10" i="6"/>
  <c r="L36" i="7"/>
  <c r="K36" i="7"/>
  <c r="J36" i="7"/>
  <c r="J36" i="20" s="1"/>
  <c r="K28" i="8"/>
  <c r="L28" i="8"/>
  <c r="J28" i="8"/>
  <c r="L36" i="9"/>
  <c r="J36" i="9"/>
  <c r="K36" i="9"/>
  <c r="L24" i="8"/>
  <c r="K24" i="8"/>
  <c r="J24" i="8"/>
  <c r="I36" i="20"/>
  <c r="K42" i="8"/>
  <c r="L42" i="8"/>
  <c r="J42" i="8"/>
  <c r="L28" i="9"/>
  <c r="K28" i="9"/>
  <c r="J28" i="9"/>
  <c r="L35" i="10"/>
  <c r="K35" i="10"/>
  <c r="J35" i="10"/>
  <c r="K13" i="12"/>
  <c r="L13" i="12"/>
  <c r="J13" i="12"/>
  <c r="L40" i="11"/>
  <c r="J40" i="11"/>
  <c r="K40" i="11"/>
  <c r="J27" i="10"/>
  <c r="L27" i="10"/>
  <c r="K27" i="10"/>
  <c r="K15" i="12"/>
  <c r="L15" i="12"/>
  <c r="J15" i="12"/>
  <c r="K31" i="12"/>
  <c r="L31" i="12"/>
  <c r="J31" i="12"/>
  <c r="L27" i="12"/>
  <c r="K27" i="12"/>
  <c r="J27" i="12"/>
  <c r="L12" i="14"/>
  <c r="K12" i="14"/>
  <c r="J12" i="14"/>
  <c r="K33" i="14"/>
  <c r="L33" i="14"/>
  <c r="J33" i="14"/>
  <c r="L9" i="15"/>
  <c r="K9" i="15"/>
  <c r="J9" i="15"/>
  <c r="L37" i="15"/>
  <c r="J37" i="15"/>
  <c r="K37" i="15"/>
  <c r="K14" i="15"/>
  <c r="J14" i="15"/>
  <c r="L14" i="15"/>
  <c r="K41" i="12"/>
  <c r="L41" i="12"/>
  <c r="J41" i="12"/>
  <c r="K18" i="15"/>
  <c r="L18" i="15"/>
  <c r="J18" i="15"/>
  <c r="K14" i="7"/>
  <c r="L14" i="7"/>
  <c r="J14" i="7"/>
  <c r="K30" i="7"/>
  <c r="L30" i="7"/>
  <c r="J30" i="7"/>
  <c r="L13" i="8"/>
  <c r="K13" i="8"/>
  <c r="J13" i="8"/>
  <c r="I32" i="20"/>
  <c r="K32" i="6"/>
  <c r="L32" i="6"/>
  <c r="J32" i="6"/>
  <c r="I40" i="20"/>
  <c r="L40" i="6"/>
  <c r="K40" i="6"/>
  <c r="J40" i="6"/>
  <c r="K17" i="10"/>
  <c r="L17" i="10"/>
  <c r="J17" i="10"/>
  <c r="L27" i="13"/>
  <c r="K27" i="13"/>
  <c r="J27" i="13"/>
  <c r="L28" i="12"/>
  <c r="K28" i="12"/>
  <c r="J28" i="12"/>
  <c r="K37" i="12"/>
  <c r="L37" i="12"/>
  <c r="J37" i="12"/>
  <c r="L32" i="12"/>
  <c r="K32" i="12"/>
  <c r="J32" i="12"/>
  <c r="L44" i="15"/>
  <c r="K44" i="15"/>
  <c r="J44" i="15"/>
  <c r="L37" i="7"/>
  <c r="J37" i="7"/>
  <c r="K37" i="7"/>
  <c r="K34" i="7"/>
  <c r="L34" i="7"/>
  <c r="J34" i="7"/>
  <c r="I45" i="20"/>
  <c r="L45" i="6"/>
  <c r="K45" i="6"/>
  <c r="J45" i="6"/>
  <c r="L17" i="7"/>
  <c r="J17" i="7"/>
  <c r="K17" i="7"/>
  <c r="L9" i="8"/>
  <c r="K9" i="8"/>
  <c r="J9" i="8"/>
  <c r="K29" i="12"/>
  <c r="L29" i="12"/>
  <c r="J29" i="12"/>
  <c r="K6" i="15"/>
  <c r="L6" i="15"/>
  <c r="J6" i="15"/>
  <c r="I30" i="20"/>
  <c r="K30" i="6"/>
  <c r="L30" i="6"/>
  <c r="J30" i="6"/>
  <c r="K10" i="8"/>
  <c r="L10" i="8"/>
  <c r="J10" i="8"/>
  <c r="I34" i="20"/>
  <c r="K34" i="6"/>
  <c r="L34" i="6"/>
  <c r="J34" i="6"/>
  <c r="L12" i="7"/>
  <c r="K12" i="7"/>
  <c r="J12" i="7"/>
  <c r="L44" i="7"/>
  <c r="K44" i="7"/>
  <c r="J44" i="7"/>
  <c r="I29" i="20"/>
  <c r="L29" i="6"/>
  <c r="K29" i="6"/>
  <c r="J29" i="6"/>
  <c r="I41" i="20"/>
  <c r="L41" i="6"/>
  <c r="K41" i="6"/>
  <c r="J41" i="6"/>
  <c r="I17" i="20"/>
  <c r="L17" i="6"/>
  <c r="K17" i="6"/>
  <c r="J17" i="6"/>
  <c r="L32" i="9"/>
  <c r="K32" i="9"/>
  <c r="J32" i="9"/>
  <c r="K15" i="9"/>
  <c r="L15" i="9"/>
  <c r="J15" i="9"/>
  <c r="J15" i="20" s="1"/>
  <c r="L36" i="11"/>
  <c r="K36" i="11"/>
  <c r="J36" i="11"/>
  <c r="K7" i="12"/>
  <c r="L7" i="12"/>
  <c r="J7" i="12"/>
  <c r="L36" i="12"/>
  <c r="K36" i="12"/>
  <c r="J36" i="12"/>
  <c r="K21" i="12"/>
  <c r="L21" i="12"/>
  <c r="J21" i="12"/>
  <c r="L13" i="14"/>
  <c r="J13" i="14"/>
  <c r="K13" i="14"/>
  <c r="K37" i="14"/>
  <c r="L37" i="14"/>
  <c r="J37" i="14"/>
  <c r="K8" i="15"/>
  <c r="L8" i="15"/>
  <c r="J8" i="15"/>
  <c r="K31" i="10"/>
  <c r="L31" i="10"/>
  <c r="J31" i="10"/>
  <c r="L32" i="11"/>
  <c r="J32" i="11"/>
  <c r="K32" i="11"/>
  <c r="L12" i="12"/>
  <c r="K12" i="12"/>
  <c r="J12" i="12"/>
  <c r="K20" i="15"/>
  <c r="L20" i="15"/>
  <c r="J20" i="15"/>
  <c r="L13" i="7"/>
  <c r="J13" i="7"/>
  <c r="K13" i="7"/>
  <c r="K12" i="8"/>
  <c r="L12" i="8"/>
  <c r="J12" i="8"/>
  <c r="L9" i="7"/>
  <c r="K9" i="7"/>
  <c r="J9" i="7"/>
  <c r="L41" i="7"/>
  <c r="K41" i="7"/>
  <c r="J41" i="7"/>
  <c r="K33" i="10"/>
  <c r="L33" i="10"/>
  <c r="J33" i="10"/>
  <c r="L24" i="11"/>
  <c r="J24" i="11"/>
  <c r="K24" i="11"/>
  <c r="K35" i="11"/>
  <c r="J35" i="11"/>
  <c r="L35" i="11"/>
  <c r="L7" i="13"/>
  <c r="K7" i="13"/>
  <c r="J7" i="13"/>
  <c r="L23" i="13"/>
  <c r="K23" i="13"/>
  <c r="J23" i="13"/>
  <c r="K9" i="12"/>
  <c r="L9" i="12"/>
  <c r="J9" i="12"/>
  <c r="L35" i="12"/>
  <c r="K35" i="12"/>
  <c r="J35" i="12"/>
  <c r="K18" i="14"/>
  <c r="L18" i="14"/>
  <c r="J18" i="14"/>
  <c r="K40" i="13"/>
  <c r="L40" i="13"/>
  <c r="J40" i="13"/>
  <c r="J44" i="14"/>
  <c r="L44" i="14"/>
  <c r="K44" i="14"/>
  <c r="L33" i="15"/>
  <c r="K33" i="15"/>
  <c r="J33" i="15"/>
  <c r="K34" i="15"/>
  <c r="L34" i="15"/>
  <c r="J34" i="15"/>
  <c r="L45" i="15"/>
  <c r="K45" i="15"/>
  <c r="J45" i="15"/>
  <c r="L20" i="11"/>
  <c r="K20" i="11"/>
  <c r="J20" i="11"/>
  <c r="K24" i="13"/>
  <c r="L24" i="13"/>
  <c r="J24" i="13"/>
  <c r="K10" i="7"/>
  <c r="L10" i="7"/>
  <c r="J10" i="7"/>
  <c r="K42" i="7"/>
  <c r="L42" i="7"/>
  <c r="J42" i="7"/>
  <c r="L20" i="8"/>
  <c r="K20" i="8"/>
  <c r="J20" i="8"/>
  <c r="L33" i="8"/>
  <c r="J33" i="8"/>
  <c r="K33" i="8"/>
  <c r="K9" i="9"/>
  <c r="L9" i="9"/>
  <c r="J9" i="9"/>
  <c r="K21" i="9"/>
  <c r="L21" i="9"/>
  <c r="J21" i="9"/>
  <c r="K21" i="11"/>
  <c r="L21" i="11"/>
  <c r="J21" i="11"/>
  <c r="K38" i="13"/>
  <c r="L38" i="13"/>
  <c r="J38" i="13"/>
  <c r="L28" i="14"/>
  <c r="K28" i="14"/>
  <c r="J28" i="14"/>
  <c r="L5" i="15"/>
  <c r="I47" i="15"/>
  <c r="J5" i="15"/>
  <c r="K5" i="15"/>
  <c r="L32" i="15"/>
  <c r="K32" i="15"/>
  <c r="J32" i="15"/>
  <c r="L27" i="9"/>
  <c r="K27" i="9"/>
  <c r="J27" i="9"/>
  <c r="J27" i="20" s="1"/>
  <c r="I47" i="12"/>
  <c r="K5" i="12"/>
  <c r="L5" i="12"/>
  <c r="J5" i="12"/>
  <c r="L9" i="14"/>
  <c r="K9" i="14"/>
  <c r="J9" i="14"/>
  <c r="K6" i="8"/>
  <c r="L6" i="8"/>
  <c r="J6" i="8"/>
  <c r="I5" i="20"/>
  <c r="I47" i="6"/>
  <c r="L5" i="6"/>
  <c r="K5" i="6"/>
  <c r="J5" i="6"/>
  <c r="I21" i="20"/>
  <c r="L21" i="6"/>
  <c r="J21" i="6"/>
  <c r="K21" i="6"/>
  <c r="L8" i="7"/>
  <c r="K8" i="7"/>
  <c r="J8" i="7"/>
  <c r="L24" i="7"/>
  <c r="K24" i="7"/>
  <c r="J24" i="7"/>
  <c r="L40" i="7"/>
  <c r="K40" i="7"/>
  <c r="J40" i="7"/>
  <c r="I37" i="20"/>
  <c r="L37" i="6"/>
  <c r="K37" i="6"/>
  <c r="J37" i="6"/>
  <c r="K17" i="12"/>
  <c r="L17" i="12"/>
  <c r="J17" i="12"/>
  <c r="K24" i="14"/>
  <c r="L24" i="14"/>
  <c r="J24" i="14"/>
  <c r="I26" i="20"/>
  <c r="K26" i="6"/>
  <c r="L26" i="6"/>
  <c r="J26" i="6"/>
  <c r="I14" i="20"/>
  <c r="K14" i="6"/>
  <c r="L14" i="6"/>
  <c r="J14" i="6"/>
  <c r="L40" i="8"/>
  <c r="K40" i="8"/>
  <c r="J40" i="8"/>
  <c r="L15" i="10"/>
  <c r="K15" i="10"/>
  <c r="J15" i="10"/>
  <c r="K9" i="13"/>
  <c r="L9" i="13"/>
  <c r="J9" i="13"/>
  <c r="L16" i="10"/>
  <c r="K16" i="10"/>
  <c r="J16" i="10"/>
  <c r="J27" i="11"/>
  <c r="L27" i="11"/>
  <c r="K27" i="11"/>
  <c r="J15" i="13"/>
  <c r="L15" i="13"/>
  <c r="K15" i="13"/>
  <c r="K25" i="13"/>
  <c r="L25" i="13"/>
  <c r="J25" i="13"/>
  <c r="L25" i="15"/>
  <c r="K25" i="15"/>
  <c r="J25" i="15"/>
  <c r="K30" i="15"/>
  <c r="L30" i="15"/>
  <c r="J30" i="15"/>
  <c r="L29" i="7"/>
  <c r="J29" i="7"/>
  <c r="K29" i="7"/>
  <c r="L29" i="8"/>
  <c r="J29" i="8"/>
  <c r="K29" i="8"/>
  <c r="K34" i="8"/>
  <c r="J34" i="8"/>
  <c r="L34" i="8"/>
  <c r="K31" i="9"/>
  <c r="L31" i="9"/>
  <c r="J31" i="9"/>
  <c r="J31" i="20" s="1"/>
  <c r="L12" i="9"/>
  <c r="K12" i="9"/>
  <c r="J12" i="9"/>
  <c r="L23" i="9"/>
  <c r="K23" i="9"/>
  <c r="J23" i="9"/>
  <c r="J23" i="20" s="1"/>
  <c r="L20" i="10"/>
  <c r="K20" i="10"/>
  <c r="J20" i="10"/>
  <c r="L11" i="10"/>
  <c r="D49" i="10" s="1"/>
  <c r="J8" i="18" s="1"/>
  <c r="K11" i="10"/>
  <c r="J11" i="10"/>
  <c r="K25" i="11"/>
  <c r="L25" i="11"/>
  <c r="J25" i="11"/>
  <c r="K45" i="12"/>
  <c r="L45" i="12"/>
  <c r="J45" i="12"/>
  <c r="L43" i="12"/>
  <c r="K43" i="12"/>
  <c r="J43" i="12"/>
  <c r="L36" i="13"/>
  <c r="K36" i="13"/>
  <c r="J36" i="13"/>
  <c r="L37" i="13"/>
  <c r="K37" i="13"/>
  <c r="J37" i="13"/>
  <c r="L36" i="15"/>
  <c r="K36" i="15"/>
  <c r="J36" i="15"/>
  <c r="F15" i="18"/>
  <c r="C7" i="20"/>
  <c r="C20" i="20"/>
  <c r="E6" i="1"/>
  <c r="K45" i="9"/>
  <c r="L45" i="9"/>
  <c r="J45" i="9"/>
  <c r="I47" i="13"/>
  <c r="K5" i="13"/>
  <c r="L5" i="13"/>
  <c r="J5" i="13"/>
  <c r="K25" i="12"/>
  <c r="L25" i="12"/>
  <c r="J25" i="12"/>
  <c r="I6" i="20"/>
  <c r="K6" i="6"/>
  <c r="L6" i="6"/>
  <c r="J6" i="6"/>
  <c r="I27" i="20"/>
  <c r="K6" i="7"/>
  <c r="L6" i="7"/>
  <c r="J6" i="7"/>
  <c r="K22" i="7"/>
  <c r="L22" i="7"/>
  <c r="J22" i="7"/>
  <c r="K38" i="7"/>
  <c r="L38" i="7"/>
  <c r="J38" i="7"/>
  <c r="K22" i="8"/>
  <c r="L22" i="8"/>
  <c r="J22" i="8"/>
  <c r="I8" i="20"/>
  <c r="L8" i="6"/>
  <c r="K8" i="6"/>
  <c r="J8" i="6"/>
  <c r="I44" i="20"/>
  <c r="K44" i="6"/>
  <c r="L44" i="6"/>
  <c r="J44" i="6"/>
  <c r="L11" i="9"/>
  <c r="K11" i="9"/>
  <c r="J11" i="9"/>
  <c r="K13" i="9"/>
  <c r="L13" i="9"/>
  <c r="J13" i="9"/>
  <c r="L24" i="10"/>
  <c r="K24" i="10"/>
  <c r="J24" i="10"/>
  <c r="L36" i="10"/>
  <c r="J36" i="10"/>
  <c r="K36" i="10"/>
  <c r="K13" i="13"/>
  <c r="L13" i="13"/>
  <c r="J13" i="13"/>
  <c r="K41" i="10"/>
  <c r="L41" i="10"/>
  <c r="J41" i="10"/>
  <c r="L44" i="12"/>
  <c r="K44" i="12"/>
  <c r="J44" i="12"/>
  <c r="L24" i="12"/>
  <c r="K24" i="12"/>
  <c r="J24" i="12"/>
  <c r="L40" i="12"/>
  <c r="K40" i="12"/>
  <c r="J40" i="12"/>
  <c r="L11" i="13"/>
  <c r="K11" i="13"/>
  <c r="J11" i="13"/>
  <c r="L17" i="14"/>
  <c r="K17" i="14"/>
  <c r="J17" i="14"/>
  <c r="L41" i="14"/>
  <c r="K41" i="14"/>
  <c r="J41" i="14"/>
  <c r="L32" i="14"/>
  <c r="J32" i="14"/>
  <c r="K32" i="14"/>
  <c r="L40" i="14"/>
  <c r="K40" i="14"/>
  <c r="J40" i="14"/>
  <c r="L7" i="11"/>
  <c r="K7" i="11"/>
  <c r="J7" i="11"/>
  <c r="K13" i="11"/>
  <c r="L13" i="11"/>
  <c r="J13" i="11"/>
  <c r="K38" i="15"/>
  <c r="L38" i="15"/>
  <c r="J38" i="15"/>
  <c r="L5" i="7"/>
  <c r="J5" i="7"/>
  <c r="I47" i="7"/>
  <c r="K5" i="7"/>
  <c r="L20" i="7"/>
  <c r="K20" i="7"/>
  <c r="J20" i="7"/>
  <c r="L33" i="7"/>
  <c r="K33" i="7"/>
  <c r="J33" i="7"/>
  <c r="K26" i="8"/>
  <c r="L26" i="8"/>
  <c r="J26" i="8"/>
  <c r="K25" i="9"/>
  <c r="L25" i="9"/>
  <c r="J25" i="9"/>
  <c r="K29" i="11"/>
  <c r="L29" i="11"/>
  <c r="J29" i="11"/>
  <c r="K26" i="7"/>
  <c r="L26" i="7"/>
  <c r="J26" i="7"/>
  <c r="D8" i="18"/>
  <c r="H8" i="18" s="1"/>
  <c r="C9" i="17"/>
  <c r="E9" i="17" s="1"/>
  <c r="I16" i="20"/>
  <c r="J16" i="6"/>
  <c r="L16" i="6"/>
  <c r="K16" i="6"/>
  <c r="I33" i="20"/>
  <c r="L33" i="6"/>
  <c r="J33" i="6"/>
  <c r="K33" i="6"/>
  <c r="K13" i="10"/>
  <c r="L13" i="10"/>
  <c r="J13" i="10"/>
  <c r="I47" i="11"/>
  <c r="K5" i="11"/>
  <c r="L5" i="11"/>
  <c r="J5" i="11"/>
  <c r="L32" i="10"/>
  <c r="K32" i="10"/>
  <c r="J32" i="10"/>
  <c r="K41" i="11"/>
  <c r="L41" i="11"/>
  <c r="J41" i="11"/>
  <c r="L20" i="12"/>
  <c r="K20" i="12"/>
  <c r="J20" i="12"/>
  <c r="L12" i="13"/>
  <c r="K12" i="13"/>
  <c r="J12" i="13"/>
  <c r="K34" i="13"/>
  <c r="L34" i="13"/>
  <c r="J34" i="13"/>
  <c r="K42" i="15"/>
  <c r="J42" i="15"/>
  <c r="L42" i="15"/>
  <c r="J43" i="10"/>
  <c r="L43" i="10"/>
  <c r="K43" i="10"/>
  <c r="K27" i="14"/>
  <c r="L27" i="14"/>
  <c r="J27" i="14"/>
  <c r="J16" i="15"/>
  <c r="K16" i="15"/>
  <c r="L16" i="15"/>
  <c r="I22" i="20"/>
  <c r="K22" i="6"/>
  <c r="L22" i="6"/>
  <c r="J22" i="6"/>
  <c r="L45" i="7"/>
  <c r="J45" i="7"/>
  <c r="K45" i="7"/>
  <c r="K18" i="7"/>
  <c r="L18" i="7"/>
  <c r="J18" i="7"/>
  <c r="L45" i="8"/>
  <c r="K45" i="8"/>
  <c r="J45" i="8"/>
  <c r="I13" i="20"/>
  <c r="L13" i="6"/>
  <c r="K13" i="6"/>
  <c r="J13" i="6"/>
  <c r="L25" i="7"/>
  <c r="J25" i="7"/>
  <c r="K25" i="7"/>
  <c r="K18" i="8"/>
  <c r="L18" i="8"/>
  <c r="J18" i="8"/>
  <c r="L43" i="9"/>
  <c r="K43" i="9"/>
  <c r="J43" i="9"/>
  <c r="L12" i="11"/>
  <c r="K12" i="11"/>
  <c r="J12" i="11"/>
  <c r="L8" i="12"/>
  <c r="J8" i="12"/>
  <c r="K8" i="12"/>
  <c r="K33" i="11"/>
  <c r="L33" i="11"/>
  <c r="J33" i="11"/>
  <c r="L43" i="11"/>
  <c r="K43" i="11"/>
  <c r="J43" i="11"/>
  <c r="L16" i="13"/>
  <c r="K16" i="13"/>
  <c r="J16" i="13"/>
  <c r="K28" i="13"/>
  <c r="L28" i="13"/>
  <c r="J28" i="13"/>
  <c r="L19" i="12"/>
  <c r="K19" i="12"/>
  <c r="J19" i="12"/>
  <c r="K20" i="13"/>
  <c r="L20" i="13"/>
  <c r="J20" i="13"/>
  <c r="K42" i="14"/>
  <c r="L42" i="14"/>
  <c r="J42" i="14"/>
  <c r="K22" i="15"/>
  <c r="L22" i="15"/>
  <c r="J22" i="15"/>
  <c r="L24" i="15"/>
  <c r="K24" i="15"/>
  <c r="J24" i="15"/>
  <c r="L21" i="15"/>
  <c r="K21" i="15"/>
  <c r="J21" i="15"/>
  <c r="L40" i="10"/>
  <c r="K40" i="10"/>
  <c r="J40" i="10"/>
  <c r="L16" i="12"/>
  <c r="J16" i="12"/>
  <c r="K16" i="12"/>
  <c r="K21" i="13"/>
  <c r="L21" i="13"/>
  <c r="J21" i="13"/>
  <c r="K6" i="14"/>
  <c r="L6" i="14"/>
  <c r="J6" i="14"/>
  <c r="I47" i="14"/>
  <c r="J11" i="20"/>
  <c r="L17" i="8"/>
  <c r="J17" i="8"/>
  <c r="K17" i="8"/>
  <c r="L28" i="7"/>
  <c r="K28" i="7"/>
  <c r="J28" i="7"/>
  <c r="K38" i="8"/>
  <c r="L38" i="8"/>
  <c r="J38" i="8"/>
  <c r="I12" i="20"/>
  <c r="J12" i="6"/>
  <c r="L12" i="6"/>
  <c r="K12" i="6"/>
  <c r="I28" i="20"/>
  <c r="L28" i="6"/>
  <c r="K28" i="6"/>
  <c r="J28" i="6"/>
  <c r="I7" i="20"/>
  <c r="I9" i="20"/>
  <c r="L9" i="6"/>
  <c r="K9" i="6"/>
  <c r="J9" i="6"/>
  <c r="I23" i="20"/>
  <c r="L25" i="8"/>
  <c r="K25" i="8"/>
  <c r="J25" i="8"/>
  <c r="J7" i="9"/>
  <c r="J7" i="20" s="1"/>
  <c r="L7" i="9"/>
  <c r="K7" i="9"/>
  <c r="K19" i="10"/>
  <c r="L19" i="10"/>
  <c r="J19" i="10"/>
  <c r="J19" i="20" s="1"/>
  <c r="K29" i="9"/>
  <c r="L29" i="9"/>
  <c r="J29" i="9"/>
  <c r="L39" i="9"/>
  <c r="K39" i="9"/>
  <c r="J39" i="9"/>
  <c r="J39" i="20" s="1"/>
  <c r="L19" i="13"/>
  <c r="K19" i="13"/>
  <c r="J19" i="13"/>
  <c r="K8" i="14"/>
  <c r="L8" i="14"/>
  <c r="J8" i="14"/>
  <c r="J20" i="14"/>
  <c r="L20" i="14"/>
  <c r="K20" i="14"/>
  <c r="L35" i="14"/>
  <c r="K35" i="14"/>
  <c r="J35" i="14"/>
  <c r="L39" i="14"/>
  <c r="K39" i="14"/>
  <c r="J39" i="14"/>
  <c r="L33" i="13"/>
  <c r="K33" i="13"/>
  <c r="J33" i="13"/>
  <c r="L21" i="7"/>
  <c r="J21" i="7"/>
  <c r="K21" i="7"/>
  <c r="L16" i="7"/>
  <c r="K16" i="7"/>
  <c r="J16" i="7"/>
  <c r="L32" i="7"/>
  <c r="K32" i="7"/>
  <c r="J32" i="7"/>
  <c r="L8" i="8"/>
  <c r="D49" i="8" s="1"/>
  <c r="J6" i="18" s="1"/>
  <c r="K8" i="8"/>
  <c r="K47" i="8" s="1"/>
  <c r="J8" i="8"/>
  <c r="J47" i="8" s="1"/>
  <c r="E6" i="18" s="1"/>
  <c r="L6" i="18" s="1"/>
  <c r="L41" i="8"/>
  <c r="J41" i="8"/>
  <c r="K41" i="8"/>
  <c r="I25" i="20"/>
  <c r="L25" i="6"/>
  <c r="K25" i="6"/>
  <c r="J25" i="6"/>
  <c r="K41" i="9"/>
  <c r="L41" i="9"/>
  <c r="J41" i="9"/>
  <c r="I47" i="9"/>
  <c r="K5" i="9"/>
  <c r="K47" i="9" s="1"/>
  <c r="L5" i="9"/>
  <c r="J5" i="9"/>
  <c r="J47" i="9" s="1"/>
  <c r="E7" i="18" s="1"/>
  <c r="L7" i="18" s="1"/>
  <c r="L44" i="9"/>
  <c r="K44" i="9"/>
  <c r="J44" i="9"/>
  <c r="K33" i="12"/>
  <c r="L33" i="12"/>
  <c r="J33" i="12"/>
  <c r="L29" i="13"/>
  <c r="K29" i="13"/>
  <c r="J29" i="13"/>
  <c r="E29" i="19"/>
  <c r="E41" i="19"/>
  <c r="E17" i="19"/>
  <c r="F5" i="19"/>
  <c r="F21" i="19"/>
  <c r="F26" i="19"/>
  <c r="F14" i="19"/>
  <c r="E6" i="19"/>
  <c r="F8" i="19"/>
  <c r="F16" i="19"/>
  <c r="E33" i="19"/>
  <c r="E13" i="19"/>
  <c r="E9" i="19"/>
  <c r="F24" i="19"/>
  <c r="F20" i="19"/>
  <c r="F40" i="19"/>
  <c r="F45" i="19"/>
  <c r="F34" i="19"/>
  <c r="E21" i="19"/>
  <c r="F37" i="19"/>
  <c r="E26" i="19"/>
  <c r="E14" i="19"/>
  <c r="F44" i="19"/>
  <c r="F28" i="19"/>
  <c r="E25" i="19"/>
  <c r="F13" i="19"/>
  <c r="F42" i="19"/>
  <c r="F18" i="19"/>
  <c r="E24" i="19"/>
  <c r="E20" i="19"/>
  <c r="F38" i="19"/>
  <c r="F10" i="19"/>
  <c r="F32" i="19"/>
  <c r="F30" i="19"/>
  <c r="E34" i="19"/>
  <c r="F29" i="19"/>
  <c r="F41" i="19"/>
  <c r="F17" i="19"/>
  <c r="E5" i="19"/>
  <c r="E8" i="19"/>
  <c r="E44" i="19"/>
  <c r="F22" i="19"/>
  <c r="E12" i="19"/>
  <c r="F9" i="19"/>
  <c r="E42" i="19"/>
  <c r="E18" i="19"/>
  <c r="E38" i="19"/>
  <c r="E10" i="19"/>
  <c r="E32" i="19"/>
  <c r="E40" i="19"/>
  <c r="E45" i="19"/>
  <c r="E30" i="19"/>
  <c r="E37" i="19"/>
  <c r="F6" i="19"/>
  <c r="E16" i="19"/>
  <c r="F33" i="19"/>
  <c r="E22" i="19"/>
  <c r="F12" i="19"/>
  <c r="E28" i="19"/>
  <c r="F25" i="19"/>
  <c r="D50" i="14" l="1"/>
  <c r="K12" i="18" s="1"/>
  <c r="D48" i="14"/>
  <c r="I12" i="18" s="1"/>
  <c r="D49" i="14"/>
  <c r="J12" i="18" s="1"/>
  <c r="D49" i="9"/>
  <c r="J7" i="18" s="1"/>
  <c r="D50" i="9"/>
  <c r="K7" i="18" s="1"/>
  <c r="D48" i="9"/>
  <c r="I7" i="18" s="1"/>
  <c r="J28" i="20"/>
  <c r="D50" i="8"/>
  <c r="K6" i="18" s="1"/>
  <c r="K47" i="14"/>
  <c r="J22" i="20"/>
  <c r="D49" i="11"/>
  <c r="J9" i="18" s="1"/>
  <c r="D50" i="11"/>
  <c r="K9" i="18" s="1"/>
  <c r="D48" i="11"/>
  <c r="I9" i="18" s="1"/>
  <c r="J16" i="20"/>
  <c r="J47" i="7"/>
  <c r="E5" i="18" s="1"/>
  <c r="L5" i="18" s="1"/>
  <c r="K47" i="13"/>
  <c r="J37" i="20"/>
  <c r="D4" i="18"/>
  <c r="C5" i="17"/>
  <c r="J47" i="12"/>
  <c r="E10" i="18" s="1"/>
  <c r="L10" i="18" s="1"/>
  <c r="D13" i="18"/>
  <c r="H13" i="18" s="1"/>
  <c r="C14" i="17"/>
  <c r="E14" i="17" s="1"/>
  <c r="D50" i="10"/>
  <c r="K8" i="18" s="1"/>
  <c r="J30" i="20"/>
  <c r="J45" i="20"/>
  <c r="J40" i="20"/>
  <c r="J32" i="20"/>
  <c r="J10" i="20"/>
  <c r="J38" i="20"/>
  <c r="J18" i="20"/>
  <c r="J42" i="20"/>
  <c r="J12" i="20"/>
  <c r="D12" i="18"/>
  <c r="H12" i="18" s="1"/>
  <c r="C13" i="17"/>
  <c r="E13" i="17" s="1"/>
  <c r="J44" i="20"/>
  <c r="J8" i="20"/>
  <c r="D11" i="18"/>
  <c r="H11" i="18" s="1"/>
  <c r="C12" i="17"/>
  <c r="E12" i="17" s="1"/>
  <c r="J5" i="20"/>
  <c r="J47" i="6"/>
  <c r="E4" i="18" s="1"/>
  <c r="C14" i="20"/>
  <c r="C13" i="20"/>
  <c r="D49" i="12"/>
  <c r="J10" i="18" s="1"/>
  <c r="D50" i="12"/>
  <c r="K10" i="18" s="1"/>
  <c r="D48" i="12"/>
  <c r="I10" i="18" s="1"/>
  <c r="D50" i="15"/>
  <c r="K13" i="18" s="1"/>
  <c r="D49" i="15"/>
  <c r="J13" i="18" s="1"/>
  <c r="D48" i="15"/>
  <c r="I13" i="18" s="1"/>
  <c r="J34" i="20"/>
  <c r="D48" i="10"/>
  <c r="I8" i="18" s="1"/>
  <c r="J20" i="20"/>
  <c r="J24" i="20"/>
  <c r="D48" i="8"/>
  <c r="I6" i="18" s="1"/>
  <c r="K47" i="11"/>
  <c r="D50" i="7"/>
  <c r="K5" i="18" s="1"/>
  <c r="D49" i="7"/>
  <c r="J5" i="18" s="1"/>
  <c r="D48" i="7"/>
  <c r="I5" i="18" s="1"/>
  <c r="D7" i="18"/>
  <c r="H7" i="18" s="1"/>
  <c r="C8" i="17"/>
  <c r="E8" i="17" s="1"/>
  <c r="J25" i="20"/>
  <c r="J47" i="14"/>
  <c r="E12" i="18" s="1"/>
  <c r="L12" i="18" s="1"/>
  <c r="J43" i="20"/>
  <c r="D9" i="18"/>
  <c r="H9" i="18" s="1"/>
  <c r="C10" i="17"/>
  <c r="E10" i="17" s="1"/>
  <c r="K47" i="7"/>
  <c r="J47" i="13"/>
  <c r="E11" i="18" s="1"/>
  <c r="L11" i="18" s="1"/>
  <c r="J14" i="20"/>
  <c r="J26" i="20"/>
  <c r="J21" i="20"/>
  <c r="K47" i="6"/>
  <c r="K47" i="12"/>
  <c r="K47" i="15"/>
  <c r="J35" i="20"/>
  <c r="K47" i="10"/>
  <c r="J9" i="20"/>
  <c r="J13" i="20"/>
  <c r="J47" i="11"/>
  <c r="E9" i="18" s="1"/>
  <c r="L9" i="18" s="1"/>
  <c r="J33" i="20"/>
  <c r="D5" i="18"/>
  <c r="H5" i="18" s="1"/>
  <c r="C6" i="17"/>
  <c r="E6" i="17" s="1"/>
  <c r="J6" i="20"/>
  <c r="D50" i="13"/>
  <c r="K11" i="18" s="1"/>
  <c r="D48" i="13"/>
  <c r="I11" i="18" s="1"/>
  <c r="D49" i="13"/>
  <c r="J11" i="18" s="1"/>
  <c r="D50" i="6"/>
  <c r="K4" i="18" s="1"/>
  <c r="D49" i="6"/>
  <c r="J4" i="18" s="1"/>
  <c r="D48" i="6"/>
  <c r="I4" i="18" s="1"/>
  <c r="D10" i="18"/>
  <c r="H10" i="18" s="1"/>
  <c r="C11" i="17"/>
  <c r="E11" i="17" s="1"/>
  <c r="J47" i="15"/>
  <c r="E13" i="18" s="1"/>
  <c r="L13" i="18" s="1"/>
  <c r="J17" i="20"/>
  <c r="J41" i="20"/>
  <c r="J29" i="20"/>
  <c r="J47" i="10"/>
  <c r="E8" i="18" s="1"/>
  <c r="L8" i="18" s="1"/>
  <c r="I16" i="1" l="1"/>
  <c r="B41" i="1"/>
  <c r="C12" i="20"/>
  <c r="E15" i="18"/>
  <c r="L4" i="18"/>
  <c r="L15" i="18" s="1"/>
  <c r="K6" i="1"/>
  <c r="B39" i="1"/>
  <c r="A16" i="1"/>
  <c r="E5" i="17"/>
  <c r="C16" i="17"/>
  <c r="C15" i="20"/>
  <c r="E16" i="1"/>
  <c r="B40" i="1"/>
  <c r="C6" i="20"/>
  <c r="D15" i="18"/>
  <c r="H15" i="18" s="1"/>
  <c r="H4" i="18"/>
  <c r="C11" i="20" s="1"/>
  <c r="C6" i="1"/>
  <c r="I6" i="1"/>
  <c r="E16" i="17" l="1"/>
  <c r="G5" i="17"/>
  <c r="G4" i="18" l="1"/>
  <c r="B6" i="17"/>
  <c r="G6" i="17" s="1"/>
  <c r="H5" i="17"/>
  <c r="G5" i="18" l="1"/>
  <c r="B7" i="17"/>
  <c r="G7" i="17" s="1"/>
  <c r="H6" i="17"/>
  <c r="G6" i="18" l="1"/>
  <c r="B8" i="17"/>
  <c r="G8" i="17" s="1"/>
  <c r="H7" i="17"/>
  <c r="G7" i="18" l="1"/>
  <c r="B9" i="17"/>
  <c r="G9" i="17" s="1"/>
  <c r="H8" i="17"/>
  <c r="G8" i="18" l="1"/>
  <c r="B10" i="17"/>
  <c r="G10" i="17" s="1"/>
  <c r="H9" i="17"/>
  <c r="G9" i="18" l="1"/>
  <c r="B11" i="17"/>
  <c r="G11" i="17" s="1"/>
  <c r="H10" i="17"/>
  <c r="B12" i="17" l="1"/>
  <c r="G12" i="17" s="1"/>
  <c r="H11" i="17"/>
  <c r="G10" i="18"/>
  <c r="G11" i="18" l="1"/>
  <c r="B13" i="17"/>
  <c r="G13" i="17" s="1"/>
  <c r="H12" i="17"/>
  <c r="G12" i="18" l="1"/>
  <c r="B14" i="17"/>
  <c r="G14" i="17" s="1"/>
  <c r="H13" i="17"/>
  <c r="G13" i="18" l="1"/>
  <c r="C8" i="20"/>
  <c r="C5" i="20"/>
  <c r="H14" i="17"/>
  <c r="G16" i="17"/>
  <c r="A6" i="1"/>
</calcChain>
</file>

<file path=xl/sharedStrings.xml><?xml version="1.0" encoding="utf-8"?>
<sst xmlns="http://schemas.openxmlformats.org/spreadsheetml/2006/main" count="621" uniqueCount="261">
  <si>
    <t>DASHBOARD KAS KELAS — TAHUN AJARAN 2026/2027</t>
  </si>
  <si>
    <t>Update terakhir mengikuti data pada sheet PEMBAYARAN &amp; PENGELUARAN (otomatis).</t>
  </si>
  <si>
    <t>SALDO KAS SAAT INI</t>
  </si>
  <si>
    <t>TOTAL PEMASUKAN</t>
  </si>
  <si>
    <t>TOTAL PENGELUARAN</t>
  </si>
  <si>
    <t>TOTAL WAJIB KAS</t>
  </si>
  <si>
    <t>TOTAL KAS TERKUMPUL</t>
  </si>
  <si>
    <t>TOTAL TUNGGAKAN</t>
  </si>
  <si>
    <t>ANGGOTA SUDAH LUNAS (rata-rata/bln)</t>
  </si>
  <si>
    <t>ANGGOTA CICILAN (rata-rata/bln)</t>
  </si>
  <si>
    <t>ANGGOTA BELUM BAYAR (rata-rata/bln)</t>
  </si>
  <si>
    <t>Status</t>
  </si>
  <si>
    <t>Jumlah Anggota (rata-rata)</t>
  </si>
  <si>
    <t>LUNAS</t>
  </si>
  <si>
    <t>CICILAN</t>
  </si>
  <si>
    <t>BELUM BAYAR</t>
  </si>
  <si>
    <t>PANDUAN PENGGUNAAN WORKBOOK</t>
  </si>
  <si>
    <t>LANGKAH 1</t>
  </si>
  <si>
    <t>Isi 41 nama anggota kelas pada sheet MASTER_ANGGOTA (kolom B, sel kuning).</t>
  </si>
  <si>
    <t>LANGKAH 2</t>
  </si>
  <si>
    <t>Setiap ada pembayaran kas (termasuk cicilan / berkali-kali), tambahkan satu baris baru di sheet PEMBAYARAN.</t>
  </si>
  <si>
    <t>LANGKAH 3</t>
  </si>
  <si>
    <t>Setiap ada pengeluaran, tambahkan satu baris baru di sheet PENGELUARAN.</t>
  </si>
  <si>
    <t>LANGKAH 4</t>
  </si>
  <si>
    <t>Buka sheet KAS_&lt;BULAN&gt; untuk melihat rekap per bulan, DAFTAR_TUNGGAKAN untuk memantau yang belum lunas, dan DASHBOARD untuk ringkasan otomatis.</t>
  </si>
  <si>
    <t>CATATAN</t>
  </si>
  <si>
    <t>Jangan mengubah rumus (font hitam/hijau). Sel berwarna kuning dengan font biru adalah sel yang boleh diisi/diedit.</t>
  </si>
  <si>
    <t>5 baris contoh transaksi di PEMBAYARAN dan PENGELUARAN adalah data uji coba - boleh dihapus kapan saja tanpa merusak rumus.</t>
  </si>
  <si>
    <t>Jumlah minggu aktif tiap bulan (sel D2 di setiap sheet KAS_&lt;BULAN&gt;) dapat diubah bendahara sesuai kalender sekolah.</t>
  </si>
  <si>
    <t>DAFTAR ANGGOTA KELAS (MASTER)</t>
  </si>
  <si>
    <t>Tahun Ajaran:</t>
  </si>
  <si>
    <t>2026/2027</t>
  </si>
  <si>
    <t>Jumlah Anggota:</t>
  </si>
  <si>
    <t>Kuning = sel input (boleh diedit) | Putih = hasil formula (otomatis)</t>
  </si>
  <si>
    <t>No</t>
  </si>
  <si>
    <t>Nama</t>
  </si>
  <si>
    <t>Kelas/Keterangan</t>
  </si>
  <si>
    <t>Status Keanggotaan</t>
  </si>
  <si>
    <t>Budi</t>
  </si>
  <si>
    <t>Aktif</t>
  </si>
  <si>
    <t>Andi</t>
  </si>
  <si>
    <t>Citra</t>
  </si>
  <si>
    <t>Doni</t>
  </si>
  <si>
    <t>Nama Siswa 5</t>
  </si>
  <si>
    <t>Nama Siswa 6</t>
  </si>
  <si>
    <t>Nama Siswa 7</t>
  </si>
  <si>
    <t>Nama Siswa 8</t>
  </si>
  <si>
    <t>Nama Siswa 9</t>
  </si>
  <si>
    <t>Nama Siswa 10</t>
  </si>
  <si>
    <t>Nama Siswa 11</t>
  </si>
  <si>
    <t>Nama Siswa 12</t>
  </si>
  <si>
    <t>Nama Siswa 13</t>
  </si>
  <si>
    <t>Nama Siswa 14</t>
  </si>
  <si>
    <t>Nama Siswa 15</t>
  </si>
  <si>
    <t>Nama Siswa 16</t>
  </si>
  <si>
    <t>Nama Siswa 17</t>
  </si>
  <si>
    <t>Nama Siswa 18</t>
  </si>
  <si>
    <t>Nama Siswa 19</t>
  </si>
  <si>
    <t>Nama Siswa 20</t>
  </si>
  <si>
    <t>Nama Siswa 21</t>
  </si>
  <si>
    <t>Nama Siswa 22</t>
  </si>
  <si>
    <t>Nama Siswa 23</t>
  </si>
  <si>
    <t>Nama Siswa 24</t>
  </si>
  <si>
    <t>Nama Siswa 25</t>
  </si>
  <si>
    <t>Nama Siswa 26</t>
  </si>
  <si>
    <t>Nama Siswa 27</t>
  </si>
  <si>
    <t>Nama Siswa 28</t>
  </si>
  <si>
    <t>Nama Siswa 29</t>
  </si>
  <si>
    <t>Nama Siswa 30</t>
  </si>
  <si>
    <t>Nama Siswa 31</t>
  </si>
  <si>
    <t>Nama Siswa 32</t>
  </si>
  <si>
    <t>Nama Siswa 33</t>
  </si>
  <si>
    <t>Nama Siswa 34</t>
  </si>
  <si>
    <t>Nama Siswa 35</t>
  </si>
  <si>
    <t>Nama Siswa 36</t>
  </si>
  <si>
    <t>Nama Siswa 37</t>
  </si>
  <si>
    <t>Nama Siswa 38</t>
  </si>
  <si>
    <t>Nama Siswa 39</t>
  </si>
  <si>
    <t>Nama Siswa 40</t>
  </si>
  <si>
    <t>Nama Siswa 41</t>
  </si>
  <si>
    <t>DAFTAR KATEGORI &amp; SUBKATEGORI PENGELUARAN</t>
  </si>
  <si>
    <t>Edit daftar ini untuk menambah/mengubah kategori. Dropdown pada sheet PENGELUARAN akan mengikuti daftar ini.</t>
  </si>
  <si>
    <t>Kategori</t>
  </si>
  <si>
    <t>Subkategori</t>
  </si>
  <si>
    <t>Daftar Kategori (untuk dropdown)</t>
  </si>
  <si>
    <t>KEGIATAN KELAS</t>
  </si>
  <si>
    <t>Acara kelas</t>
  </si>
  <si>
    <t>Perayaan</t>
  </si>
  <si>
    <t>PERLENGKAPAN</t>
  </si>
  <si>
    <t>Lomba</t>
  </si>
  <si>
    <t>KEBERSIHAN</t>
  </si>
  <si>
    <t>Study tour</t>
  </si>
  <si>
    <t>SOSIAL</t>
  </si>
  <si>
    <t>Kegiatan lainnya</t>
  </si>
  <si>
    <t>KONSUMSI</t>
  </si>
  <si>
    <t>Alat tulis</t>
  </si>
  <si>
    <t>ADMINISTRASI</t>
  </si>
  <si>
    <t>Kertas</t>
  </si>
  <si>
    <t>LAINNYA</t>
  </si>
  <si>
    <t>Spidol</t>
  </si>
  <si>
    <t>Papan tulis</t>
  </si>
  <si>
    <t>Dekorasi</t>
  </si>
  <si>
    <t>Perlengkapan kelas</t>
  </si>
  <si>
    <t>Sapu</t>
  </si>
  <si>
    <t>Pel</t>
  </si>
  <si>
    <t>Tisu</t>
  </si>
  <si>
    <t>Sabun</t>
  </si>
  <si>
    <t>Tempat sampah</t>
  </si>
  <si>
    <t>Peralatan kebersihan</t>
  </si>
  <si>
    <t>Sumbangan</t>
  </si>
  <si>
    <t>Takziah</t>
  </si>
  <si>
    <t>Bantuan anggota</t>
  </si>
  <si>
    <t>Kegiatan sosial</t>
  </si>
  <si>
    <t>Air minum</t>
  </si>
  <si>
    <t>Makanan</t>
  </si>
  <si>
    <t>Snack</t>
  </si>
  <si>
    <t>Konsumsi kegiatan</t>
  </si>
  <si>
    <t>Fotokopi</t>
  </si>
  <si>
    <t>Print</t>
  </si>
  <si>
    <t>Materai</t>
  </si>
  <si>
    <t>Administrasi lainnya</t>
  </si>
  <si>
    <t>Pengeluaran tidak terduga</t>
  </si>
  <si>
    <t>Pengeluaran lainnya</t>
  </si>
  <si>
    <t>CATATAN PEMBAYARAN KAS (SEMUA TRANSAKSI)</t>
  </si>
  <si>
    <t>Setiap kali anggota membayar (walau dicicil / berkali-kali), tambahkan SATU baris baru di sini. Jangan menimpa baris lama.</t>
  </si>
  <si>
    <t>Bulan</t>
  </si>
  <si>
    <t>Minggu</t>
  </si>
  <si>
    <t>Tanggal</t>
  </si>
  <si>
    <t>Nominal Pembayaran</t>
  </si>
  <si>
    <t>Metode</t>
  </si>
  <si>
    <t>Keterangan</t>
  </si>
  <si>
    <t>Cek: Nama Tidak Terdaftar?</t>
  </si>
  <si>
    <t>September</t>
  </si>
  <si>
    <t>Minggu 1</t>
  </si>
  <si>
    <t>Tunai</t>
  </si>
  <si>
    <t>Pelunasan langsung</t>
  </si>
  <si>
    <t>Cicilan 1</t>
  </si>
  <si>
    <t>Cicilan 2</t>
  </si>
  <si>
    <t>Pelunasan</t>
  </si>
  <si>
    <t>Transfer</t>
  </si>
  <si>
    <t>Lebih Rp2.000 (kelebihan)</t>
  </si>
  <si>
    <t>Minggu 2</t>
  </si>
  <si>
    <t>Lunas</t>
  </si>
  <si>
    <t>Cicilan, kurang Rp2.000</t>
  </si>
  <si>
    <t>REKAP KAS BULAN SEPTEMBER 2026/2027</t>
  </si>
  <si>
    <t>Jumlah Minggu Aktif Bulan Ini:</t>
  </si>
  <si>
    <t>Iuran / Minggu:</t>
  </si>
  <si>
    <t>Minggu 3</t>
  </si>
  <si>
    <t>Minggu 4</t>
  </si>
  <si>
    <t>Minggu 5</t>
  </si>
  <si>
    <t>Total Wajib</t>
  </si>
  <si>
    <t>Total Dibayar</t>
  </si>
  <si>
    <t>Kekurangan</t>
  </si>
  <si>
    <t>Kelebihan</t>
  </si>
  <si>
    <t>Status M1</t>
  </si>
  <si>
    <t>Status M2</t>
  </si>
  <si>
    <t>Status M3</t>
  </si>
  <si>
    <t>Status M4</t>
  </si>
  <si>
    <t>Status M5</t>
  </si>
  <si>
    <t>TOTAL</t>
  </si>
  <si>
    <t>Jumlah Anggota LUNAS:</t>
  </si>
  <si>
    <t>Jumlah Anggota CICILAN:</t>
  </si>
  <si>
    <t>Jumlah Anggota BELUM BAYAR:</t>
  </si>
  <si>
    <t>REKAP KAS BULAN OKTOBER 2026/2027</t>
  </si>
  <si>
    <t>REKAP KAS BULAN NOVEMBER 2026/2027</t>
  </si>
  <si>
    <t>REKAP KAS BULAN DESEMBER 2026/2027</t>
  </si>
  <si>
    <t>REKAP KAS BULAN JANUARI 2026/2027</t>
  </si>
  <si>
    <t>REKAP KAS BULAN FEBRUARI 2026/2027</t>
  </si>
  <si>
    <t>REKAP KAS BULAN MARET 2026/2027</t>
  </si>
  <si>
    <t>REKAP KAS BULAN APRIL 2026/2027</t>
  </si>
  <si>
    <t>REKAP KAS BULAN MEI 2026/2027</t>
  </si>
  <si>
    <t>REKAP KAS BULAN JUNI 2026/2027</t>
  </si>
  <si>
    <t>CATATAN PENGELUARAN KAS KELAS</t>
  </si>
  <si>
    <t>Kolom N (Bulan) terisi otomatis dari Tanggal - jangan diedit manual.</t>
  </si>
  <si>
    <t>Deskripsi</t>
  </si>
  <si>
    <t>Penerima</t>
  </si>
  <si>
    <t>Jumlah</t>
  </si>
  <si>
    <t>Metode Pembayaran</t>
  </si>
  <si>
    <t>Bukti</t>
  </si>
  <si>
    <t>No/Ref Bukti</t>
  </si>
  <si>
    <t>Disetujui Oleh</t>
  </si>
  <si>
    <t>Bulan (otomatis)</t>
  </si>
  <si>
    <t>Pembelian 2 pack spidol untuk presentasi kelas</t>
  </si>
  <si>
    <t>Toko ATK Sinar</t>
  </si>
  <si>
    <t>Ada</t>
  </si>
  <si>
    <t>NK-001</t>
  </si>
  <si>
    <t>Wali Kelas</t>
  </si>
  <si>
    <t>Contoh transaksi pengujian - boleh dihapus</t>
  </si>
  <si>
    <t>Pembelian kertas HVS 1 rim</t>
  </si>
  <si>
    <t>NK-002</t>
  </si>
  <si>
    <t>Konsumsi rapat kelas</t>
  </si>
  <si>
    <t>Kantin Bu Sri</t>
  </si>
  <si>
    <t>NK-003</t>
  </si>
  <si>
    <t>Ketua Kelas</t>
  </si>
  <si>
    <t>Dekorasi kelas untuk lomba kebersihan</t>
  </si>
  <si>
    <t>Toko Dekorasi Ceria</t>
  </si>
  <si>
    <t>NK-004</t>
  </si>
  <si>
    <t>Fotokopi lembar absensi &amp; notulen</t>
  </si>
  <si>
    <t>Fotokopi Amanah</t>
  </si>
  <si>
    <t>NK-005</t>
  </si>
  <si>
    <t>Sekretaris Kelas</t>
  </si>
  <si>
    <t>REKAPITULASI SALDO KAS</t>
  </si>
  <si>
    <t>Saldo Awal Tahun Ajaran:</t>
  </si>
  <si>
    <t>Periode (Bulan)</t>
  </si>
  <si>
    <t>Saldo Awal</t>
  </si>
  <si>
    <t>Pemasukan Kas</t>
  </si>
  <si>
    <t>Pemasukan Lain</t>
  </si>
  <si>
    <t>Total Pemasukan</t>
  </si>
  <si>
    <t>Pengeluaran</t>
  </si>
  <si>
    <t>Saldo Akhir</t>
  </si>
  <si>
    <t>Cek Saldo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</si>
  <si>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</si>
  <si>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</si>
  <si>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</si>
  <si>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</si>
  <si>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</si>
  <si>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</si>
  <si>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</si>
  <si>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</si>
  <si>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</si>
  <si>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TOTAL TAHUN AJARAN</t>
  </si>
  <si>
    <t>REKAP BULANAN KAS KELAS</t>
  </si>
  <si>
    <t>Seluruh kolom di sheet ini otomatis, ditarik dari sheet KAS_&lt;BULAN&gt;, PENGELUARAN, dan SALDO.</t>
  </si>
  <si>
    <t>Jumlah Anggota</t>
  </si>
  <si>
    <t>Total Kekurangan</t>
  </si>
  <si>
    <t>Total Pengeluaran</t>
  </si>
  <si>
    <t>% Pembayaran</t>
  </si>
  <si>
    <t>Anggota Lunas</t>
  </si>
  <si>
    <t>Anggota Cicilan</t>
  </si>
  <si>
    <t>Anggota Belum Bayar</t>
  </si>
  <si>
    <t>Total Tunggakan</t>
  </si>
  <si>
    <t>MONITORING TUNGGAKAN ANGGOTA</t>
  </si>
  <si>
    <t>Pilih Bulan:</t>
  </si>
  <si>
    <t>Tabel menampilkan SEMUA anggota untuk bulan terpilih. Gunakan AutoFilter pada kolom Status untuk menampilkan hanya CICILAN / BELUM BAYAR.</t>
  </si>
  <si>
    <t>ANALISIS KEUANGAN KAS KELAS</t>
  </si>
  <si>
    <t>Seluruh angka di sheet ini otomatis (formula). Area bantu perhitungan ada di kolom H ke kanan.</t>
  </si>
  <si>
    <t>AREA BANTU: TOTAL PER ANGGOTA (SETAHUN)</t>
  </si>
  <si>
    <t>AREA BANTU: TOTAL PER KATEGORI PENGELUARAN</t>
  </si>
  <si>
    <t>A. KONDISI KAS</t>
  </si>
  <si>
    <t>Total Dibayar Setahun</t>
  </si>
  <si>
    <t>Total Tunggakan Setahun</t>
  </si>
  <si>
    <t>Jumlah Transaksi</t>
  </si>
  <si>
    <t>Persentase</t>
  </si>
  <si>
    <t>Saldo Kas Saat Ini</t>
  </si>
  <si>
    <t>Rata-rata Pemasukan Bulanan</t>
  </si>
  <si>
    <t>Rata-rata Pengeluaran Bulanan</t>
  </si>
  <si>
    <t>Tren Saldo (Bulan Pertama vs Terakhir)</t>
  </si>
  <si>
    <t>B. PEMBAYARAN</t>
  </si>
  <si>
    <t>Persentase Anggota Lunas (rata-rata seluruh bulan)</t>
  </si>
  <si>
    <t>Total Tunggakan (Kekurangan) Setahun</t>
  </si>
  <si>
    <t>Rata-rata Pembayaran per Anggota (Setahun)</t>
  </si>
  <si>
    <t>Anggota dengan Pembayaran Tertinggi</t>
  </si>
  <si>
    <t>Anggota dengan Tunggakan Terbesar</t>
  </si>
  <si>
    <t>C. PENGELUARAN</t>
  </si>
  <si>
    <t>Kategori Pengeluaran Terbesar</t>
  </si>
  <si>
    <t>Rata-rata Pengeluaran per Transaksi</t>
  </si>
  <si>
    <t>Pengeluaran Bulanan (rata-rata)</t>
  </si>
  <si>
    <t>Total Pengeluaran Tidak Terduga (Kategori LAINNYA)</t>
  </si>
  <si>
    <t>Jumlah Transaksi Pengeluaran</t>
  </si>
  <si>
    <t>Pengeluaran Terbesar (1 transaksi)</t>
  </si>
  <si>
    <t>Pengeluaran Terkecil (1 transaksi, &gt;0)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</si>
</sst>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404040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1F1F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sz val="10"/>
      <color rgb="FF008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2E5C8A"/>
      </patternFill>
    </fill>
    <fill>
      <patternFill patternType="solid">
        <fgColor rgb="FF2E7D32"/>
        <bgColor rgb="FF008000"/>
      </patternFill>
    </fill>
    <fill>
      <patternFill patternType="solid">
        <fgColor rgb="FFC62828"/>
        <bgColor rgb="FFBE4B48"/>
      </patternFill>
    </fill>
    <fill>
      <patternFill patternType="solid">
        <fgColor rgb="FF455A64"/>
        <bgColor rgb="FF2E5C8A"/>
      </patternFill>
    </fill>
    <fill>
      <patternFill patternType="solid">
        <fgColor rgb="FF00695C"/>
        <bgColor rgb="FF008080"/>
      </patternFill>
    </fill>
    <fill>
      <patternFill patternType="solid">
        <fgColor rgb="FFEF6C00"/>
        <bgColor rgb="FFC0504D"/>
      </patternFill>
    </fill>
    <fill>
      <patternFill patternType="solid">
        <fgColor rgb="FFF9A825"/>
        <bgColor rgb="FFFFCC00"/>
      </patternFill>
    </fill>
    <fill>
      <patternFill patternType="solid">
        <fgColor rgb="FFFFF2CC"/>
        <bgColor rgb="FFF9F9F9"/>
      </patternFill>
    </fill>
    <fill>
      <patternFill patternType="solid">
        <fgColor rgb="FF2E5C8A"/>
        <bgColor rgb="FF1F4E78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7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9" borderId="0" xfId="0" applyFont="1" applyFill="1"/>
    <xf numFmtId="0" fontId="8" fillId="0" borderId="0" xfId="0" applyFont="1"/>
    <xf numFmtId="0" fontId="3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9" borderId="1" xfId="0" applyFont="1" applyFill="1" applyBorder="1"/>
    <xf numFmtId="0" fontId="7" fillId="0" borderId="1" xfId="0" applyFont="1" applyBorder="1"/>
    <xf numFmtId="0" fontId="5" fillId="0" borderId="1" xfId="0" applyFont="1" applyBorder="1"/>
    <xf numFmtId="164" fontId="7" fillId="9" borderId="1" xfId="0" applyNumberFormat="1" applyFont="1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7" fillId="9" borderId="0" xfId="0" applyFont="1" applyFill="1" applyAlignment="1">
      <alignment horizontal="center" vertical="center" wrapText="1"/>
    </xf>
    <xf numFmtId="0" fontId="9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0" fillId="11" borderId="1" xfId="0" applyFill="1" applyBorder="1"/>
    <xf numFmtId="0" fontId="6" fillId="11" borderId="1" xfId="0" applyFont="1" applyFill="1" applyBorder="1"/>
    <xf numFmtId="0" fontId="7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/>
    <xf numFmtId="0" fontId="5" fillId="11" borderId="1" xfId="0" applyFont="1" applyFill="1" applyBorder="1"/>
    <xf numFmtId="0" fontId="0" fillId="0" borderId="1" xfId="0" applyBorder="1"/>
    <xf numFmtId="165" fontId="5" fillId="0" borderId="1" xfId="0" applyNumberFormat="1" applyFont="1" applyBorder="1"/>
    <xf numFmtId="165" fontId="6" fillId="11" borderId="1" xfId="0" applyNumberFormat="1" applyFont="1" applyFill="1" applyBorder="1"/>
    <xf numFmtId="0" fontId="9" fillId="0" borderId="0" xfId="0" applyFont="1"/>
    <xf numFmtId="165" fontId="5" fillId="0" borderId="0" xfId="0" applyNumberFormat="1" applyFont="1"/>
    <xf numFmtId="0" fontId="3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3" fillId="10" borderId="0" xfId="0" applyFont="1" applyFill="1"/>
    <xf numFmtId="0" fontId="5" fillId="0" borderId="0" xfId="0" applyFont="1"/>
    <xf numFmtId="165" fontId="5" fillId="0" borderId="0" xfId="0" applyNumberFormat="1" applyFont="1"/>
  </cellXfs>
  <cellStyles count="1">
    <cellStyle name="Normal" xfId="0" builtinId="0"/>
  </cellStyles>
  <dxfs count="3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D6E63"/>
      <rgbColor rgb="FF6A1B9A"/>
      <rgbColor rgb="FF00695C"/>
      <rgbColor rgb="FFB7B7B7"/>
      <rgbColor rgb="FF808080"/>
      <rgbColor rgb="FF9999FF"/>
      <rgbColor rgb="FFBE4B48"/>
      <rgbColor rgb="FFFFF2CC"/>
      <rgbColor rgb="FFD9E1F2"/>
      <rgbColor rgb="FF660066"/>
      <rgbColor rgb="FFFF8080"/>
      <rgbColor rgb="FF2E5C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0B4"/>
      <rgbColor rgb="FFFFE699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F9A825"/>
      <rgbColor rgb="FFEF6C00"/>
      <rgbColor rgb="FF455A64"/>
      <rgbColor rgb="FF878787"/>
      <rgbColor rgb="FF003366"/>
      <rgbColor rgb="FF2E7D32"/>
      <rgbColor rgb="FF003300"/>
      <rgbColor rgb="FF1F1F1F"/>
      <rgbColor rgb="FFC62828"/>
      <rgbColor rgb="FFC0504D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Pemasukan vs Pengeluaran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REKAP_BULANAN!$D$3</c:f>
              <c:strCache>
                <c:ptCount val="1"/>
                <c:pt idx="0">
                  <c:v>Total Dibayar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REKAP_BULANAN!$A$4:$A$13</c:f>
              <c:strCache>
                <c:ptCount val="10"/>
                <c:pt idx="0">
                  <c:v>September</c:v>
                </c:pt>
                <c:pt idx="1">
                  <c:v>Oktober</c:v>
                </c:pt>
                <c:pt idx="2">
                  <c:v>November</c:v>
                </c:pt>
                <c:pt idx="3">
                  <c:v>Desember</c:v>
                </c:pt>
                <c:pt idx="4">
                  <c:v>Januari</c:v>
                </c:pt>
                <c:pt idx="5">
                  <c:v>Februari</c:v>
                </c:pt>
                <c:pt idx="6">
                  <c:v>Maret</c:v>
                </c:pt>
                <c:pt idx="7">
                  <c:v>April</c:v>
                </c:pt>
                <c:pt idx="8">
                  <c:v>Mei</c:v>
                </c:pt>
                <c:pt idx="9">
                  <c:v>Juni</c:v>
                </c:pt>
              </c:strCache>
            </c:strRef>
          </c:cat>
          <c:val>
            <c:numRef>
              <c:f>REKAP_BULANAN!$D$4:$D$13</c:f>
              <c:numCache>
                <c:formatCode>General</c:formatCode>
                <c:ptCount val="10"/>
                <c:pt idx="0">
                  <c:v>25000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E-49B4-B695-6427095ADA44}"/>
            </c:ext>
          </c:extLst>
        </c:ser>
        <c:ser>
          <c:idx val="1"/>
          <c:order val="1"/>
          <c:tx>
            <c:strRef>
              <c:f>REKAP_BULANAN!$F$3</c:f>
              <c:strCache>
                <c:ptCount val="1"/>
                <c:pt idx="0">
                  <c:v>Total Pengeluaran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REKAP_BULANAN!$A$4:$A$13</c:f>
              <c:strCache>
                <c:ptCount val="10"/>
                <c:pt idx="0">
                  <c:v>September</c:v>
                </c:pt>
                <c:pt idx="1">
                  <c:v>Oktober</c:v>
                </c:pt>
                <c:pt idx="2">
                  <c:v>November</c:v>
                </c:pt>
                <c:pt idx="3">
                  <c:v>Desember</c:v>
                </c:pt>
                <c:pt idx="4">
                  <c:v>Januari</c:v>
                </c:pt>
                <c:pt idx="5">
                  <c:v>Februari</c:v>
                </c:pt>
                <c:pt idx="6">
                  <c:v>Maret</c:v>
                </c:pt>
                <c:pt idx="7">
                  <c:v>April</c:v>
                </c:pt>
                <c:pt idx="8">
                  <c:v>Mei</c:v>
                </c:pt>
                <c:pt idx="9">
                  <c:v>Juni</c:v>
                </c:pt>
              </c:strCache>
            </c:strRef>
          </c:cat>
          <c:val>
            <c:numRef>
              <c:f>REKAP_BULANAN!$F$4:$F$13</c:f>
              <c:numCache>
                <c:formatCode>General</c:formatCode>
                <c:ptCount val="10"/>
                <c:pt idx="0">
                  <c:v>125000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CE-49B4-B695-6427095A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0278"/>
        <c:axId val="59087967"/>
      </c:barChart>
      <c:catAx>
        <c:axId val="64502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59087967"/>
        <c:crosses val="autoZero"/>
        <c:auto val="1"/>
        <c:lblAlgn val="ctr"/>
        <c:lblOffset val="100"/>
        <c:noMultiLvlLbl val="0"/>
      </c:catAx>
      <c:valAx>
        <c:axId val="59087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64502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Perkembangan Saldo Kas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SALDO!$G$4</c:f>
              <c:strCache>
                <c:ptCount val="1"/>
                <c:pt idx="0">
                  <c:v>Saldo Akhir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SALDO!$A$5:$A$14</c:f>
              <c:strCache>
                <c:ptCount val="10"/>
                <c:pt idx="0">
                  <c:v>September</c:v>
                </c:pt>
                <c:pt idx="1">
                  <c:v>Oktober</c:v>
                </c:pt>
                <c:pt idx="2">
                  <c:v>November</c:v>
                </c:pt>
                <c:pt idx="3">
                  <c:v>Desember</c:v>
                </c:pt>
                <c:pt idx="4">
                  <c:v>Januari</c:v>
                </c:pt>
                <c:pt idx="5">
                  <c:v>Februari</c:v>
                </c:pt>
                <c:pt idx="6">
                  <c:v>Maret</c:v>
                </c:pt>
                <c:pt idx="7">
                  <c:v>April</c:v>
                </c:pt>
                <c:pt idx="8">
                  <c:v>Mei</c:v>
                </c:pt>
                <c:pt idx="9">
                  <c:v>Juni</c:v>
                </c:pt>
              </c:strCache>
            </c:strRef>
          </c:cat>
          <c:val>
            <c:numRef>
              <c:f>SALDO!$G$5:$G$14</c:f>
              <c:numCache>
                <c:formatCode>General</c:formatCode>
                <c:ptCount val="10"/>
                <c:pt idx="0">
                  <c:v>-100000</c:v>
                </c:pt>
                <c:pt idx="1">
                  <c:v>-100000</c:v>
                </c:pt>
                <c:pt idx="2">
                  <c:v>-100000</c:v>
                </c:pt>
                <c:pt idx="3">
                  <c:v>-100000</c:v>
                </c:pt>
                <c:pt idx="4">
                  <c:v>-100000</c:v>
                </c:pt>
                <c:pt idx="5">
                  <c:v>-100000</c:v>
                </c:pt>
                <c:pt idx="6">
                  <c:v>-100000</c:v>
                </c:pt>
                <c:pt idx="7">
                  <c:v>-100000</c:v>
                </c:pt>
                <c:pt idx="8">
                  <c:v>-100000</c:v>
                </c:pt>
                <c:pt idx="9">
                  <c:v>-100000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2C-43EE-94D3-8976808B9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106584"/>
        <c:axId val="11471969"/>
      </c:lineChart>
      <c:catAx>
        <c:axId val="121065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1471969"/>
        <c:crosses val="autoZero"/>
        <c:auto val="1"/>
        <c:lblAlgn val="ctr"/>
        <c:lblOffset val="100"/>
        <c:noMultiLvlLbl val="0"/>
      </c:catAx>
      <c:valAx>
        <c:axId val="11471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21065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Rata-rata Status Pembayaran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DASHBOARD!$B$38</c:f>
              <c:strCache>
                <c:ptCount val="1"/>
                <c:pt idx="0">
                  <c:v>Jumlah Anggota (rata-rata)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A0A-4D3F-82E3-1F8ECFB7963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A0A-4D3F-82E3-1F8ECFB7963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A0A-4D3F-82E3-1F8ECFB7963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id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A0A-4D3F-82E3-1F8ECFB7963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id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A0A-4D3F-82E3-1F8ECFB7963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id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A0A-4D3F-82E3-1F8ECFB796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DASHBOARD!$A$39:$A$41</c:f>
              <c:strCache>
                <c:ptCount val="3"/>
                <c:pt idx="0">
                  <c:v>LUNAS</c:v>
                </c:pt>
                <c:pt idx="1">
                  <c:v>CICILAN</c:v>
                </c:pt>
                <c:pt idx="2">
                  <c:v>BELUM BAYAR</c:v>
                </c:pt>
              </c:strCache>
            </c:strRef>
          </c:cat>
          <c:val>
            <c:numRef>
              <c:f>DASHBOARD!$B$39:$B$41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0A-4D3F-82E3-1F8ECFB79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Pengeluaran Berdasarkan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ANALISIS!$N$4</c:f>
              <c:strCache>
                <c:ptCount val="1"/>
                <c:pt idx="0">
                  <c:v>Total Pengeluaran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ANALISIS!$L$5:$L$11</c:f>
              <c:strCache>
                <c:ptCount val="7"/>
                <c:pt idx="0">
                  <c:v>KEGIATAN KELAS</c:v>
                </c:pt>
                <c:pt idx="1">
                  <c:v>PERLENGKAPAN</c:v>
                </c:pt>
                <c:pt idx="2">
                  <c:v>KEBERSIHAN</c:v>
                </c:pt>
                <c:pt idx="3">
                  <c:v>SOSIAL</c:v>
                </c:pt>
                <c:pt idx="4">
                  <c:v>KONSUMSI</c:v>
                </c:pt>
                <c:pt idx="5">
                  <c:v>ADMINISTRASI</c:v>
                </c:pt>
                <c:pt idx="6">
                  <c:v>LAINNYA</c:v>
                </c:pt>
              </c:strCache>
            </c:strRef>
          </c:cat>
          <c:val>
            <c:numRef>
              <c:f>ANALISIS!$N$5:$N$11</c:f>
              <c:numCache>
                <c:formatCode>General</c:formatCode>
                <c:ptCount val="7"/>
                <c:pt idx="0">
                  <c:v>0</c:v>
                </c:pt>
                <c:pt idx="1">
                  <c:v>65000</c:v>
                </c:pt>
                <c:pt idx="2">
                  <c:v>0</c:v>
                </c:pt>
                <c:pt idx="3">
                  <c:v>0</c:v>
                </c:pt>
                <c:pt idx="4">
                  <c:v>50000</c:v>
                </c:pt>
                <c:pt idx="5">
                  <c:v>10000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D-4F25-928E-01C4B1739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33175"/>
        <c:axId val="512528"/>
      </c:barChart>
      <c:catAx>
        <c:axId val="23633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512528"/>
        <c:crosses val="autoZero"/>
        <c:auto val="1"/>
        <c:lblAlgn val="ctr"/>
        <c:lblOffset val="100"/>
        <c:noMultiLvlLbl val="0"/>
      </c:catAx>
      <c:valAx>
        <c:axId val="512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23633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473400</xdr:colOff>
      <xdr:row>36</xdr:row>
      <xdr:rowOff>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11</xdr:col>
      <xdr:colOff>473040</xdr:colOff>
      <xdr:row>36</xdr:row>
      <xdr:rowOff>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4</xdr:col>
      <xdr:colOff>90360</xdr:colOff>
      <xdr:row>60</xdr:row>
      <xdr:rowOff>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43</xdr:row>
      <xdr:rowOff>0</xdr:rowOff>
    </xdr:from>
    <xdr:to>
      <xdr:col>11</xdr:col>
      <xdr:colOff>473040</xdr:colOff>
      <xdr:row>60</xdr:row>
      <xdr:rowOff>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41"/>
  <sheetViews>
    <sheetView showGridLines="0" zoomScaleNormal="100" workbookViewId="0"/>
  </sheetViews>
  <sheetFormatPr defaultColWidth="8.6640625" defaultRowHeight="14.4" x14ac:dyDescent="0.3"/>
  <cols>
    <col min="1" max="12" width="15" customWidth="1"/>
  </cols>
  <sheetData>
    <row r="1" spans="1:12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21.75" customHeight="1" x14ac:dyDescent="0.3">
      <c r="A4" s="12" t="s">
        <v>2</v>
      </c>
      <c r="C4" s="11" t="s">
        <v>3</v>
      </c>
      <c r="E4" s="10" t="s">
        <v>4</v>
      </c>
      <c r="G4" s="9" t="s">
        <v>5</v>
      </c>
      <c r="I4" s="8" t="s">
        <v>6</v>
      </c>
      <c r="K4" s="7" t="s">
        <v>7</v>
      </c>
    </row>
    <row r="5" spans="1:12" x14ac:dyDescent="0.3">
      <c r="A5" s="12"/>
      <c r="C5" s="11"/>
      <c r="E5" s="10"/>
      <c r="G5" s="9"/>
      <c r="I5" s="8"/>
      <c r="K5" s="7"/>
    </row>
    <row r="6" spans="1:12" ht="30" customHeight="1" x14ac:dyDescent="0.3">
      <c r="A6" s="6">
        <f>SALDO_AKHIR_TAHUN</f>
        <v>-100000</v>
      </c>
      <c r="C6" s="5">
        <f>SUM(REKAP_BULANAN!D4:D13)</f>
        <v>25000</v>
      </c>
      <c r="E6" s="4">
        <f>SUM(REKAP_BULANAN!F4:F13)</f>
        <v>125000</v>
      </c>
      <c r="G6" s="3">
        <f>SUM(REKAP_BULANAN!C4:C13)</f>
        <v>8610000</v>
      </c>
      <c r="I6" s="2">
        <f>SUM(REKAP_BULANAN!D4:D13)</f>
        <v>25000</v>
      </c>
      <c r="K6" s="1">
        <f>SUM(REKAP_BULANAN!E4:E13)</f>
        <v>8585000</v>
      </c>
    </row>
    <row r="7" spans="1:12" x14ac:dyDescent="0.3">
      <c r="A7" s="6"/>
      <c r="C7" s="5"/>
      <c r="E7" s="4"/>
      <c r="G7" s="3"/>
      <c r="I7" s="2"/>
      <c r="K7" s="1"/>
    </row>
    <row r="14" spans="1:12" ht="15" customHeight="1" x14ac:dyDescent="0.3">
      <c r="A14" s="11" t="s">
        <v>8</v>
      </c>
      <c r="E14" s="40" t="s">
        <v>9</v>
      </c>
      <c r="I14" s="10" t="s">
        <v>10</v>
      </c>
    </row>
    <row r="15" spans="1:12" x14ac:dyDescent="0.3">
      <c r="A15" s="11"/>
      <c r="E15" s="40"/>
      <c r="I15" s="10"/>
    </row>
    <row r="16" spans="1:12" x14ac:dyDescent="0.3">
      <c r="A16" s="5">
        <f>ROUND(AVERAGE(REKAP_BULANAN!I4:I13),0)</f>
        <v>0</v>
      </c>
      <c r="E16" s="41">
        <f>ROUND(AVERAGE(REKAP_BULANAN!J4:J13),0)</f>
        <v>0</v>
      </c>
      <c r="I16" s="4">
        <f>ROUND(AVERAGE(REKAP_BULANAN!K4:K13),0)</f>
        <v>41</v>
      </c>
    </row>
    <row r="17" spans="1:9" x14ac:dyDescent="0.3">
      <c r="A17" s="5"/>
      <c r="E17" s="41"/>
      <c r="I17" s="4"/>
    </row>
    <row r="38" spans="1:2" x14ac:dyDescent="0.3">
      <c r="A38" s="15" t="s">
        <v>11</v>
      </c>
      <c r="B38" s="15" t="s">
        <v>12</v>
      </c>
    </row>
    <row r="39" spans="1:2" x14ac:dyDescent="0.3">
      <c r="A39" s="15" t="s">
        <v>13</v>
      </c>
      <c r="B39" s="15">
        <f>ROUND(AVERAGE(REKAP_BULANAN!I4:I13),0)</f>
        <v>0</v>
      </c>
    </row>
    <row r="40" spans="1:2" x14ac:dyDescent="0.3">
      <c r="A40" s="15" t="s">
        <v>14</v>
      </c>
      <c r="B40" s="15">
        <f>ROUND(AVERAGE(REKAP_BULANAN!J4:J13),0)</f>
        <v>0</v>
      </c>
    </row>
    <row r="41" spans="1:2" x14ac:dyDescent="0.3">
      <c r="A41" s="15" t="s">
        <v>15</v>
      </c>
      <c r="B41" s="15">
        <f>ROUND(AVERAGE(REKAP_BULANAN!K4:K13),0)</f>
        <v>41</v>
      </c>
    </row>
  </sheetData>
  <mergeCells count="20">
    <mergeCell ref="K6:K7"/>
    <mergeCell ref="A14:A15"/>
    <mergeCell ref="E14:E15"/>
    <mergeCell ref="I14:I15"/>
    <mergeCell ref="A16:A17"/>
    <mergeCell ref="E16:E17"/>
    <mergeCell ref="I16:I17"/>
    <mergeCell ref="A6:A7"/>
    <mergeCell ref="C6:C7"/>
    <mergeCell ref="E6:E7"/>
    <mergeCell ref="G6:G7"/>
    <mergeCell ref="I6:I7"/>
    <mergeCell ref="A1:L1"/>
    <mergeCell ref="A2:L2"/>
    <mergeCell ref="A4:A5"/>
    <mergeCell ref="C4:C5"/>
    <mergeCell ref="E4:E5"/>
    <mergeCell ref="G4:G5"/>
    <mergeCell ref="I4:I5"/>
    <mergeCell ref="K4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D9"/>
  <sheetViews>
    <sheetView zoomScaleNormal="100" workbookViewId="0"/>
  </sheetViews>
  <sheetFormatPr defaultColWidth="8.6640625" defaultRowHeight="14.4" x14ac:dyDescent="0.3"/>
  <cols>
    <col min="1" max="1" width="14" customWidth="1"/>
    <col min="2" max="4" width="24" customWidth="1"/>
  </cols>
  <sheetData>
    <row r="1" spans="1:4" ht="27.75" customHeight="1" x14ac:dyDescent="0.3">
      <c r="A1" s="14" t="s">
        <v>16</v>
      </c>
      <c r="B1" s="14"/>
      <c r="C1" s="14"/>
    </row>
    <row r="3" spans="1:4" ht="31.5" customHeight="1" x14ac:dyDescent="0.3">
      <c r="A3" s="16" t="s">
        <v>17</v>
      </c>
      <c r="B3" s="42" t="s">
        <v>18</v>
      </c>
      <c r="C3" s="42"/>
      <c r="D3" s="42"/>
    </row>
    <row r="4" spans="1:4" ht="31.5" customHeight="1" x14ac:dyDescent="0.3">
      <c r="A4" s="16" t="s">
        <v>19</v>
      </c>
      <c r="B4" s="42" t="s">
        <v>20</v>
      </c>
      <c r="C4" s="42"/>
      <c r="D4" s="42"/>
    </row>
    <row r="5" spans="1:4" ht="31.5" customHeight="1" x14ac:dyDescent="0.3">
      <c r="A5" s="16" t="s">
        <v>21</v>
      </c>
      <c r="B5" s="42" t="s">
        <v>22</v>
      </c>
      <c r="C5" s="42"/>
      <c r="D5" s="42"/>
    </row>
    <row r="6" spans="1:4" ht="31.5" customHeight="1" x14ac:dyDescent="0.3">
      <c r="A6" s="16" t="s">
        <v>23</v>
      </c>
      <c r="B6" s="42" t="s">
        <v>24</v>
      </c>
      <c r="C6" s="42"/>
      <c r="D6" s="42"/>
    </row>
    <row r="7" spans="1:4" ht="31.5" customHeight="1" x14ac:dyDescent="0.3">
      <c r="A7" s="16" t="s">
        <v>25</v>
      </c>
      <c r="B7" s="42" t="s">
        <v>26</v>
      </c>
      <c r="C7" s="42"/>
      <c r="D7" s="42"/>
    </row>
    <row r="8" spans="1:4" ht="31.5" customHeight="1" x14ac:dyDescent="0.3">
      <c r="A8" s="16" t="s">
        <v>25</v>
      </c>
      <c r="B8" s="42" t="s">
        <v>27</v>
      </c>
      <c r="C8" s="42"/>
      <c r="D8" s="42"/>
    </row>
    <row r="9" spans="1:4" ht="31.5" customHeight="1" x14ac:dyDescent="0.3">
      <c r="A9" s="16" t="s">
        <v>25</v>
      </c>
      <c r="B9" s="42" t="s">
        <v>28</v>
      </c>
      <c r="C9" s="42"/>
      <c r="D9" s="42"/>
    </row>
  </sheetData>
  <mergeCells count="8">
    <mergeCell ref="B7:D7"/>
    <mergeCell ref="B8:D8"/>
    <mergeCell ref="B9:D9"/>
    <mergeCell ref="A1:C1"/>
    <mergeCell ref="B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C8A"/>
  </sheetPr>
  <dimension ref="A1:E4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22" customWidth="1"/>
    <col min="3" max="3" width="20" customWidth="1"/>
    <col min="4" max="4" width="18" customWidth="1"/>
  </cols>
  <sheetData>
    <row r="1" spans="1:5" ht="27.75" customHeight="1" x14ac:dyDescent="0.3">
      <c r="A1" s="14" t="s">
        <v>29</v>
      </c>
      <c r="B1" s="14"/>
      <c r="C1" s="14"/>
      <c r="D1" s="14"/>
    </row>
    <row r="2" spans="1:5" x14ac:dyDescent="0.3">
      <c r="A2" s="16" t="s">
        <v>30</v>
      </c>
      <c r="B2" s="17" t="s">
        <v>31</v>
      </c>
      <c r="D2" s="16" t="s">
        <v>32</v>
      </c>
      <c r="E2" s="15">
        <f>COUNTA(B5:B45)</f>
        <v>41</v>
      </c>
    </row>
    <row r="3" spans="1:5" x14ac:dyDescent="0.3">
      <c r="A3" s="18" t="s">
        <v>33</v>
      </c>
    </row>
    <row r="4" spans="1:5" ht="26.4" x14ac:dyDescent="0.3">
      <c r="A4" s="19" t="s">
        <v>34</v>
      </c>
      <c r="B4" s="19" t="s">
        <v>35</v>
      </c>
      <c r="C4" s="19" t="s">
        <v>36</v>
      </c>
      <c r="D4" s="19" t="s">
        <v>37</v>
      </c>
    </row>
    <row r="5" spans="1:5" x14ac:dyDescent="0.3">
      <c r="A5" s="20">
        <v>1</v>
      </c>
      <c r="B5" s="21" t="s">
        <v>38</v>
      </c>
      <c r="C5" s="22"/>
      <c r="D5" s="22" t="s">
        <v>39</v>
      </c>
    </row>
    <row r="6" spans="1:5" x14ac:dyDescent="0.3">
      <c r="A6" s="20">
        <v>2</v>
      </c>
      <c r="B6" s="21" t="s">
        <v>40</v>
      </c>
      <c r="C6" s="22"/>
      <c r="D6" s="22" t="s">
        <v>39</v>
      </c>
    </row>
    <row r="7" spans="1:5" x14ac:dyDescent="0.3">
      <c r="A7" s="20">
        <v>3</v>
      </c>
      <c r="B7" s="21" t="s">
        <v>41</v>
      </c>
      <c r="C7" s="22"/>
      <c r="D7" s="22" t="s">
        <v>39</v>
      </c>
    </row>
    <row r="8" spans="1:5" x14ac:dyDescent="0.3">
      <c r="A8" s="20">
        <v>4</v>
      </c>
      <c r="B8" s="21" t="s">
        <v>42</v>
      </c>
      <c r="C8" s="22"/>
      <c r="D8" s="22" t="s">
        <v>39</v>
      </c>
    </row>
    <row r="9" spans="1:5" x14ac:dyDescent="0.3">
      <c r="A9" s="20">
        <v>5</v>
      </c>
      <c r="B9" s="21" t="s">
        <v>43</v>
      </c>
      <c r="C9" s="22"/>
      <c r="D9" s="22" t="s">
        <v>39</v>
      </c>
    </row>
    <row r="10" spans="1:5" x14ac:dyDescent="0.3">
      <c r="A10" s="20">
        <v>6</v>
      </c>
      <c r="B10" s="21" t="s">
        <v>44</v>
      </c>
      <c r="C10" s="22"/>
      <c r="D10" s="22" t="s">
        <v>39</v>
      </c>
    </row>
    <row r="11" spans="1:5" x14ac:dyDescent="0.3">
      <c r="A11" s="20">
        <v>7</v>
      </c>
      <c r="B11" s="21" t="s">
        <v>45</v>
      </c>
      <c r="C11" s="22"/>
      <c r="D11" s="22" t="s">
        <v>39</v>
      </c>
    </row>
    <row r="12" spans="1:5" x14ac:dyDescent="0.3">
      <c r="A12" s="20">
        <v>8</v>
      </c>
      <c r="B12" s="21" t="s">
        <v>46</v>
      </c>
      <c r="C12" s="22"/>
      <c r="D12" s="22" t="s">
        <v>39</v>
      </c>
    </row>
    <row r="13" spans="1:5" x14ac:dyDescent="0.3">
      <c r="A13" s="20">
        <v>9</v>
      </c>
      <c r="B13" s="21" t="s">
        <v>47</v>
      </c>
      <c r="C13" s="22"/>
      <c r="D13" s="22" t="s">
        <v>39</v>
      </c>
    </row>
    <row r="14" spans="1:5" x14ac:dyDescent="0.3">
      <c r="A14" s="20">
        <v>10</v>
      </c>
      <c r="B14" s="21" t="s">
        <v>48</v>
      </c>
      <c r="C14" s="22"/>
      <c r="D14" s="22" t="s">
        <v>39</v>
      </c>
    </row>
    <row r="15" spans="1:5" x14ac:dyDescent="0.3">
      <c r="A15" s="20">
        <v>11</v>
      </c>
      <c r="B15" s="21" t="s">
        <v>49</v>
      </c>
      <c r="C15" s="22"/>
      <c r="D15" s="22" t="s">
        <v>39</v>
      </c>
    </row>
    <row r="16" spans="1:5" x14ac:dyDescent="0.3">
      <c r="A16" s="20">
        <v>12</v>
      </c>
      <c r="B16" s="21" t="s">
        <v>50</v>
      </c>
      <c r="C16" s="22"/>
      <c r="D16" s="22" t="s">
        <v>39</v>
      </c>
    </row>
    <row r="17" spans="1:4" x14ac:dyDescent="0.3">
      <c r="A17" s="20">
        <v>13</v>
      </c>
      <c r="B17" s="21" t="s">
        <v>51</v>
      </c>
      <c r="C17" s="22"/>
      <c r="D17" s="22" t="s">
        <v>39</v>
      </c>
    </row>
    <row r="18" spans="1:4" x14ac:dyDescent="0.3">
      <c r="A18" s="20">
        <v>14</v>
      </c>
      <c r="B18" s="21" t="s">
        <v>52</v>
      </c>
      <c r="C18" s="22"/>
      <c r="D18" s="22" t="s">
        <v>39</v>
      </c>
    </row>
    <row r="19" spans="1:4" x14ac:dyDescent="0.3">
      <c r="A19" s="20">
        <v>15</v>
      </c>
      <c r="B19" s="21" t="s">
        <v>53</v>
      </c>
      <c r="C19" s="22"/>
      <c r="D19" s="22" t="s">
        <v>39</v>
      </c>
    </row>
    <row r="20" spans="1:4" x14ac:dyDescent="0.3">
      <c r="A20" s="20">
        <v>16</v>
      </c>
      <c r="B20" s="21" t="s">
        <v>54</v>
      </c>
      <c r="C20" s="22"/>
      <c r="D20" s="22" t="s">
        <v>39</v>
      </c>
    </row>
    <row r="21" spans="1:4" x14ac:dyDescent="0.3">
      <c r="A21" s="20">
        <v>17</v>
      </c>
      <c r="B21" s="21" t="s">
        <v>55</v>
      </c>
      <c r="C21" s="22"/>
      <c r="D21" s="22" t="s">
        <v>39</v>
      </c>
    </row>
    <row r="22" spans="1:4" x14ac:dyDescent="0.3">
      <c r="A22" s="20">
        <v>18</v>
      </c>
      <c r="B22" s="21" t="s">
        <v>56</v>
      </c>
      <c r="C22" s="22"/>
      <c r="D22" s="22" t="s">
        <v>39</v>
      </c>
    </row>
    <row r="23" spans="1:4" x14ac:dyDescent="0.3">
      <c r="A23" s="20">
        <v>19</v>
      </c>
      <c r="B23" s="21" t="s">
        <v>57</v>
      </c>
      <c r="C23" s="22"/>
      <c r="D23" s="22" t="s">
        <v>39</v>
      </c>
    </row>
    <row r="24" spans="1:4" x14ac:dyDescent="0.3">
      <c r="A24" s="20">
        <v>20</v>
      </c>
      <c r="B24" s="21" t="s">
        <v>58</v>
      </c>
      <c r="C24" s="22"/>
      <c r="D24" s="22" t="s">
        <v>39</v>
      </c>
    </row>
    <row r="25" spans="1:4" x14ac:dyDescent="0.3">
      <c r="A25" s="20">
        <v>21</v>
      </c>
      <c r="B25" s="21" t="s">
        <v>59</v>
      </c>
      <c r="C25" s="22"/>
      <c r="D25" s="22" t="s">
        <v>39</v>
      </c>
    </row>
    <row r="26" spans="1:4" x14ac:dyDescent="0.3">
      <c r="A26" s="20">
        <v>22</v>
      </c>
      <c r="B26" s="21" t="s">
        <v>60</v>
      </c>
      <c r="C26" s="22"/>
      <c r="D26" s="22" t="s">
        <v>39</v>
      </c>
    </row>
    <row r="27" spans="1:4" x14ac:dyDescent="0.3">
      <c r="A27" s="20">
        <v>23</v>
      </c>
      <c r="B27" s="21" t="s">
        <v>61</v>
      </c>
      <c r="C27" s="22"/>
      <c r="D27" s="22" t="s">
        <v>39</v>
      </c>
    </row>
    <row r="28" spans="1:4" x14ac:dyDescent="0.3">
      <c r="A28" s="20">
        <v>24</v>
      </c>
      <c r="B28" s="21" t="s">
        <v>62</v>
      </c>
      <c r="C28" s="22"/>
      <c r="D28" s="22" t="s">
        <v>39</v>
      </c>
    </row>
    <row r="29" spans="1:4" x14ac:dyDescent="0.3">
      <c r="A29" s="20">
        <v>25</v>
      </c>
      <c r="B29" s="21" t="s">
        <v>63</v>
      </c>
      <c r="C29" s="22"/>
      <c r="D29" s="22" t="s">
        <v>39</v>
      </c>
    </row>
    <row r="30" spans="1:4" x14ac:dyDescent="0.3">
      <c r="A30" s="20">
        <v>26</v>
      </c>
      <c r="B30" s="21" t="s">
        <v>64</v>
      </c>
      <c r="C30" s="22"/>
      <c r="D30" s="22" t="s">
        <v>39</v>
      </c>
    </row>
    <row r="31" spans="1:4" x14ac:dyDescent="0.3">
      <c r="A31" s="20">
        <v>27</v>
      </c>
      <c r="B31" s="21" t="s">
        <v>65</v>
      </c>
      <c r="C31" s="22"/>
      <c r="D31" s="22" t="s">
        <v>39</v>
      </c>
    </row>
    <row r="32" spans="1:4" x14ac:dyDescent="0.3">
      <c r="A32" s="20">
        <v>28</v>
      </c>
      <c r="B32" s="21" t="s">
        <v>66</v>
      </c>
      <c r="C32" s="22"/>
      <c r="D32" s="22" t="s">
        <v>39</v>
      </c>
    </row>
    <row r="33" spans="1:4" x14ac:dyDescent="0.3">
      <c r="A33" s="20">
        <v>29</v>
      </c>
      <c r="B33" s="21" t="s">
        <v>67</v>
      </c>
      <c r="C33" s="22"/>
      <c r="D33" s="22" t="s">
        <v>39</v>
      </c>
    </row>
    <row r="34" spans="1:4" x14ac:dyDescent="0.3">
      <c r="A34" s="20">
        <v>30</v>
      </c>
      <c r="B34" s="21" t="s">
        <v>68</v>
      </c>
      <c r="C34" s="22"/>
      <c r="D34" s="22" t="s">
        <v>39</v>
      </c>
    </row>
    <row r="35" spans="1:4" x14ac:dyDescent="0.3">
      <c r="A35" s="20">
        <v>31</v>
      </c>
      <c r="B35" s="21" t="s">
        <v>69</v>
      </c>
      <c r="C35" s="22"/>
      <c r="D35" s="22" t="s">
        <v>39</v>
      </c>
    </row>
    <row r="36" spans="1:4" x14ac:dyDescent="0.3">
      <c r="A36" s="20">
        <v>32</v>
      </c>
      <c r="B36" s="21" t="s">
        <v>70</v>
      </c>
      <c r="C36" s="22"/>
      <c r="D36" s="22" t="s">
        <v>39</v>
      </c>
    </row>
    <row r="37" spans="1:4" x14ac:dyDescent="0.3">
      <c r="A37" s="20">
        <v>33</v>
      </c>
      <c r="B37" s="21" t="s">
        <v>71</v>
      </c>
      <c r="C37" s="22"/>
      <c r="D37" s="22" t="s">
        <v>39</v>
      </c>
    </row>
    <row r="38" spans="1:4" x14ac:dyDescent="0.3">
      <c r="A38" s="20">
        <v>34</v>
      </c>
      <c r="B38" s="21" t="s">
        <v>72</v>
      </c>
      <c r="C38" s="22"/>
      <c r="D38" s="22" t="s">
        <v>39</v>
      </c>
    </row>
    <row r="39" spans="1:4" x14ac:dyDescent="0.3">
      <c r="A39" s="20">
        <v>35</v>
      </c>
      <c r="B39" s="21" t="s">
        <v>73</v>
      </c>
      <c r="C39" s="22"/>
      <c r="D39" s="22" t="s">
        <v>39</v>
      </c>
    </row>
    <row r="40" spans="1:4" x14ac:dyDescent="0.3">
      <c r="A40" s="20">
        <v>36</v>
      </c>
      <c r="B40" s="21" t="s">
        <v>74</v>
      </c>
      <c r="C40" s="22"/>
      <c r="D40" s="22" t="s">
        <v>39</v>
      </c>
    </row>
    <row r="41" spans="1:4" x14ac:dyDescent="0.3">
      <c r="A41" s="20">
        <v>37</v>
      </c>
      <c r="B41" s="21" t="s">
        <v>75</v>
      </c>
      <c r="C41" s="22"/>
      <c r="D41" s="22" t="s">
        <v>39</v>
      </c>
    </row>
    <row r="42" spans="1:4" x14ac:dyDescent="0.3">
      <c r="A42" s="20">
        <v>38</v>
      </c>
      <c r="B42" s="21" t="s">
        <v>76</v>
      </c>
      <c r="C42" s="22"/>
      <c r="D42" s="22" t="s">
        <v>39</v>
      </c>
    </row>
    <row r="43" spans="1:4" x14ac:dyDescent="0.3">
      <c r="A43" s="20">
        <v>39</v>
      </c>
      <c r="B43" s="21" t="s">
        <v>77</v>
      </c>
      <c r="C43" s="22"/>
      <c r="D43" s="22" t="s">
        <v>39</v>
      </c>
    </row>
    <row r="44" spans="1:4" x14ac:dyDescent="0.3">
      <c r="A44" s="20">
        <v>40</v>
      </c>
      <c r="B44" s="21" t="s">
        <v>78</v>
      </c>
      <c r="C44" s="22"/>
      <c r="D44" s="22" t="s">
        <v>39</v>
      </c>
    </row>
    <row r="45" spans="1:4" x14ac:dyDescent="0.3">
      <c r="A45" s="20">
        <v>41</v>
      </c>
      <c r="B45" s="21" t="s">
        <v>79</v>
      </c>
      <c r="C45" s="22"/>
      <c r="D45" s="22" t="s">
        <v>39</v>
      </c>
    </row>
  </sheetData>
  <autoFilter ref="A4:D45" xr:uid="{00000000-0009-0000-0000-000002000000}"/>
  <mergeCells count="1">
    <mergeCell ref="A1:D1"/>
  </mergeCells>
  <dataValidations count="1">
    <dataValidation type="list" allowBlank="1" sqref="D5:D45" xr:uid="{00000000-0002-0000-0200-000000000000}">
      <formula1>"Aktif,Pindah,Non-Aktif"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6E63"/>
  </sheetPr>
  <dimension ref="A1:D34"/>
  <sheetViews>
    <sheetView tabSelected="1" zoomScaleNormal="100" workbookViewId="0">
      <selection sqref="A1:XFD1"/>
    </sheetView>
  </sheetViews>
  <sheetFormatPr defaultColWidth="8.6640625" defaultRowHeight="14.4" x14ac:dyDescent="0.3"/>
  <cols>
    <col min="1" max="1" width="20" customWidth="1"/>
    <col min="2" max="2" width="26" customWidth="1"/>
    <col min="3" max="3" width="3" customWidth="1"/>
    <col min="4" max="4" width="28" customWidth="1"/>
  </cols>
  <sheetData>
    <row r="1" spans="1:4" ht="48" customHeight="1" x14ac:dyDescent="0.3">
      <c r="A1" s="14" t="s">
        <v>80</v>
      </c>
      <c r="B1" s="14"/>
      <c r="C1" s="14"/>
    </row>
    <row r="2" spans="1:4" x14ac:dyDescent="0.3">
      <c r="A2" s="18" t="s">
        <v>81</v>
      </c>
    </row>
    <row r="3" spans="1:4" x14ac:dyDescent="0.3">
      <c r="A3" s="19" t="s">
        <v>82</v>
      </c>
      <c r="B3" s="19" t="s">
        <v>83</v>
      </c>
      <c r="D3" s="16" t="s">
        <v>84</v>
      </c>
    </row>
    <row r="4" spans="1:4" x14ac:dyDescent="0.3">
      <c r="A4" s="22" t="s">
        <v>85</v>
      </c>
      <c r="B4" s="22" t="s">
        <v>86</v>
      </c>
      <c r="D4" s="15" t="s">
        <v>85</v>
      </c>
    </row>
    <row r="5" spans="1:4" x14ac:dyDescent="0.3">
      <c r="A5" s="23"/>
      <c r="B5" s="22" t="s">
        <v>87</v>
      </c>
      <c r="D5" s="15" t="s">
        <v>88</v>
      </c>
    </row>
    <row r="6" spans="1:4" x14ac:dyDescent="0.3">
      <c r="A6" s="23"/>
      <c r="B6" s="22" t="s">
        <v>89</v>
      </c>
      <c r="D6" s="15" t="s">
        <v>90</v>
      </c>
    </row>
    <row r="7" spans="1:4" x14ac:dyDescent="0.3">
      <c r="A7" s="23"/>
      <c r="B7" s="22" t="s">
        <v>91</v>
      </c>
      <c r="D7" s="15" t="s">
        <v>92</v>
      </c>
    </row>
    <row r="8" spans="1:4" x14ac:dyDescent="0.3">
      <c r="A8" s="23"/>
      <c r="B8" s="22" t="s">
        <v>93</v>
      </c>
      <c r="D8" s="15" t="s">
        <v>94</v>
      </c>
    </row>
    <row r="9" spans="1:4" x14ac:dyDescent="0.3">
      <c r="A9" s="22" t="s">
        <v>88</v>
      </c>
      <c r="B9" s="22" t="s">
        <v>95</v>
      </c>
      <c r="D9" s="15" t="s">
        <v>96</v>
      </c>
    </row>
    <row r="10" spans="1:4" x14ac:dyDescent="0.3">
      <c r="A10" s="23"/>
      <c r="B10" s="22" t="s">
        <v>97</v>
      </c>
      <c r="D10" s="15" t="s">
        <v>98</v>
      </c>
    </row>
    <row r="11" spans="1:4" x14ac:dyDescent="0.3">
      <c r="A11" s="23"/>
      <c r="B11" s="22" t="s">
        <v>99</v>
      </c>
    </row>
    <row r="12" spans="1:4" x14ac:dyDescent="0.3">
      <c r="A12" s="23"/>
      <c r="B12" s="22" t="s">
        <v>100</v>
      </c>
    </row>
    <row r="13" spans="1:4" x14ac:dyDescent="0.3">
      <c r="A13" s="23"/>
      <c r="B13" s="22" t="s">
        <v>101</v>
      </c>
    </row>
    <row r="14" spans="1:4" x14ac:dyDescent="0.3">
      <c r="A14" s="23"/>
      <c r="B14" s="22" t="s">
        <v>102</v>
      </c>
    </row>
    <row r="15" spans="1:4" x14ac:dyDescent="0.3">
      <c r="A15" s="22" t="s">
        <v>90</v>
      </c>
      <c r="B15" s="22" t="s">
        <v>103</v>
      </c>
    </row>
    <row r="16" spans="1:4" x14ac:dyDescent="0.3">
      <c r="A16" s="23"/>
      <c r="B16" s="22" t="s">
        <v>104</v>
      </c>
    </row>
    <row r="17" spans="1:2" x14ac:dyDescent="0.3">
      <c r="A17" s="23"/>
      <c r="B17" s="22" t="s">
        <v>105</v>
      </c>
    </row>
    <row r="18" spans="1:2" x14ac:dyDescent="0.3">
      <c r="A18" s="23"/>
      <c r="B18" s="22" t="s">
        <v>106</v>
      </c>
    </row>
    <row r="19" spans="1:2" x14ac:dyDescent="0.3">
      <c r="A19" s="23"/>
      <c r="B19" s="22" t="s">
        <v>107</v>
      </c>
    </row>
    <row r="20" spans="1:2" x14ac:dyDescent="0.3">
      <c r="A20" s="23"/>
      <c r="B20" s="22" t="s">
        <v>108</v>
      </c>
    </row>
    <row r="21" spans="1:2" x14ac:dyDescent="0.3">
      <c r="A21" s="22" t="s">
        <v>92</v>
      </c>
      <c r="B21" s="22" t="s">
        <v>109</v>
      </c>
    </row>
    <row r="22" spans="1:2" x14ac:dyDescent="0.3">
      <c r="A22" s="23"/>
      <c r="B22" s="22" t="s">
        <v>110</v>
      </c>
    </row>
    <row r="23" spans="1:2" x14ac:dyDescent="0.3">
      <c r="A23" s="23"/>
      <c r="B23" s="22" t="s">
        <v>111</v>
      </c>
    </row>
    <row r="24" spans="1:2" x14ac:dyDescent="0.3">
      <c r="A24" s="23"/>
      <c r="B24" s="22" t="s">
        <v>112</v>
      </c>
    </row>
    <row r="25" spans="1:2" x14ac:dyDescent="0.3">
      <c r="A25" s="22" t="s">
        <v>94</v>
      </c>
      <c r="B25" s="22" t="s">
        <v>113</v>
      </c>
    </row>
    <row r="26" spans="1:2" x14ac:dyDescent="0.3">
      <c r="A26" s="23"/>
      <c r="B26" s="22" t="s">
        <v>114</v>
      </c>
    </row>
    <row r="27" spans="1:2" x14ac:dyDescent="0.3">
      <c r="A27" s="23"/>
      <c r="B27" s="22" t="s">
        <v>115</v>
      </c>
    </row>
    <row r="28" spans="1:2" x14ac:dyDescent="0.3">
      <c r="A28" s="23"/>
      <c r="B28" s="22" t="s">
        <v>116</v>
      </c>
    </row>
    <row r="29" spans="1:2" x14ac:dyDescent="0.3">
      <c r="A29" s="22" t="s">
        <v>96</v>
      </c>
      <c r="B29" s="22" t="s">
        <v>117</v>
      </c>
    </row>
    <row r="30" spans="1:2" x14ac:dyDescent="0.3">
      <c r="A30" s="23"/>
      <c r="B30" s="22" t="s">
        <v>118</v>
      </c>
    </row>
    <row r="31" spans="1:2" x14ac:dyDescent="0.3">
      <c r="A31" s="23"/>
      <c r="B31" s="22" t="s">
        <v>119</v>
      </c>
    </row>
    <row r="32" spans="1:2" x14ac:dyDescent="0.3">
      <c r="A32" s="23"/>
      <c r="B32" s="22" t="s">
        <v>120</v>
      </c>
    </row>
    <row r="33" spans="1:2" x14ac:dyDescent="0.3">
      <c r="A33" s="22" t="s">
        <v>98</v>
      </c>
      <c r="B33" s="22" t="s">
        <v>121</v>
      </c>
    </row>
    <row r="34" spans="1:2" x14ac:dyDescent="0.3">
      <c r="A34" s="23"/>
      <c r="B34" s="22" t="s">
        <v>122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I50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13" customWidth="1"/>
    <col min="3" max="3" width="11" customWidth="1"/>
    <col min="4" max="4" width="13" customWidth="1"/>
    <col min="5" max="5" width="18" customWidth="1"/>
    <col min="6" max="6" width="12" customWidth="1"/>
    <col min="7" max="7" width="26" customWidth="1"/>
    <col min="9" max="9" width="22" customWidth="1"/>
  </cols>
  <sheetData>
    <row r="1" spans="1:9" ht="27.75" customHeight="1" x14ac:dyDescent="0.3">
      <c r="A1" s="14" t="s">
        <v>123</v>
      </c>
      <c r="B1" s="14"/>
      <c r="C1" s="14"/>
      <c r="D1" s="14"/>
      <c r="E1" s="14"/>
      <c r="F1" s="14"/>
      <c r="G1" s="14"/>
    </row>
    <row r="2" spans="1:9" x14ac:dyDescent="0.3">
      <c r="A2" s="18" t="s">
        <v>124</v>
      </c>
    </row>
    <row r="3" spans="1:9" ht="26.4" x14ac:dyDescent="0.3">
      <c r="A3" s="19" t="s">
        <v>35</v>
      </c>
      <c r="B3" s="19" t="s">
        <v>125</v>
      </c>
      <c r="C3" s="19" t="s">
        <v>126</v>
      </c>
      <c r="D3" s="19" t="s">
        <v>127</v>
      </c>
      <c r="E3" s="19" t="s">
        <v>128</v>
      </c>
      <c r="F3" s="19" t="s">
        <v>129</v>
      </c>
      <c r="G3" s="19" t="s">
        <v>130</v>
      </c>
      <c r="I3" s="16" t="s">
        <v>131</v>
      </c>
    </row>
    <row r="4" spans="1:9" x14ac:dyDescent="0.3">
      <c r="A4" s="21" t="s">
        <v>40</v>
      </c>
      <c r="B4" s="21" t="s">
        <v>132</v>
      </c>
      <c r="C4" s="21" t="s">
        <v>133</v>
      </c>
      <c r="D4" s="24">
        <v>46269</v>
      </c>
      <c r="E4" s="21">
        <v>5000</v>
      </c>
      <c r="F4" s="21" t="s">
        <v>134</v>
      </c>
      <c r="G4" s="21" t="s">
        <v>135</v>
      </c>
      <c r="I4" s="15" t="str">
        <f t="shared" ref="I4:I67" si="0">IF($A4="","",IF(COUNTIF(DAFTAR_NAMA,$A4)=0,"⚠️ NAMA TIDAK TERDAFTAR","OK"))</f>
        <v>OK</v>
      </c>
    </row>
    <row r="5" spans="1:9" x14ac:dyDescent="0.3">
      <c r="A5" s="21" t="s">
        <v>38</v>
      </c>
      <c r="B5" s="21" t="s">
        <v>132</v>
      </c>
      <c r="C5" s="21" t="s">
        <v>133</v>
      </c>
      <c r="D5" s="24">
        <v>46269</v>
      </c>
      <c r="E5" s="21">
        <v>2000</v>
      </c>
      <c r="F5" s="21" t="s">
        <v>134</v>
      </c>
      <c r="G5" s="21" t="s">
        <v>136</v>
      </c>
      <c r="I5" s="15" t="str">
        <f t="shared" si="0"/>
        <v>OK</v>
      </c>
    </row>
    <row r="6" spans="1:9" x14ac:dyDescent="0.3">
      <c r="A6" s="21" t="s">
        <v>38</v>
      </c>
      <c r="B6" s="21" t="s">
        <v>132</v>
      </c>
      <c r="C6" s="21" t="s">
        <v>133</v>
      </c>
      <c r="D6" s="24">
        <v>46270</v>
      </c>
      <c r="E6" s="21">
        <v>1000</v>
      </c>
      <c r="F6" s="21" t="s">
        <v>134</v>
      </c>
      <c r="G6" s="21" t="s">
        <v>137</v>
      </c>
      <c r="I6" s="15" t="str">
        <f t="shared" si="0"/>
        <v>OK</v>
      </c>
    </row>
    <row r="7" spans="1:9" x14ac:dyDescent="0.3">
      <c r="A7" s="21" t="s">
        <v>38</v>
      </c>
      <c r="B7" s="21" t="s">
        <v>132</v>
      </c>
      <c r="C7" s="21" t="s">
        <v>133</v>
      </c>
      <c r="D7" s="24">
        <v>46271</v>
      </c>
      <c r="E7" s="21">
        <v>2000</v>
      </c>
      <c r="F7" s="21" t="s">
        <v>134</v>
      </c>
      <c r="G7" s="21" t="s">
        <v>138</v>
      </c>
      <c r="I7" s="15" t="str">
        <f t="shared" si="0"/>
        <v>OK</v>
      </c>
    </row>
    <row r="8" spans="1:9" x14ac:dyDescent="0.3">
      <c r="A8" s="21" t="s">
        <v>42</v>
      </c>
      <c r="B8" s="21" t="s">
        <v>132</v>
      </c>
      <c r="C8" s="21" t="s">
        <v>133</v>
      </c>
      <c r="D8" s="24">
        <v>46269</v>
      </c>
      <c r="E8" s="21">
        <v>7000</v>
      </c>
      <c r="F8" s="21" t="s">
        <v>139</v>
      </c>
      <c r="G8" s="21" t="s">
        <v>140</v>
      </c>
      <c r="I8" s="15" t="str">
        <f t="shared" si="0"/>
        <v>OK</v>
      </c>
    </row>
    <row r="9" spans="1:9" x14ac:dyDescent="0.3">
      <c r="A9" s="21" t="s">
        <v>40</v>
      </c>
      <c r="B9" s="21" t="s">
        <v>132</v>
      </c>
      <c r="C9" s="21" t="s">
        <v>141</v>
      </c>
      <c r="D9" s="24">
        <v>46276</v>
      </c>
      <c r="E9" s="21">
        <v>5000</v>
      </c>
      <c r="F9" s="21" t="s">
        <v>134</v>
      </c>
      <c r="G9" s="21" t="s">
        <v>142</v>
      </c>
      <c r="I9" s="15" t="str">
        <f t="shared" si="0"/>
        <v>OK</v>
      </c>
    </row>
    <row r="10" spans="1:9" x14ac:dyDescent="0.3">
      <c r="A10" s="21" t="s">
        <v>38</v>
      </c>
      <c r="B10" s="21" t="s">
        <v>132</v>
      </c>
      <c r="C10" s="21" t="s">
        <v>141</v>
      </c>
      <c r="D10" s="24">
        <v>46277</v>
      </c>
      <c r="E10" s="21">
        <v>3000</v>
      </c>
      <c r="F10" s="21" t="s">
        <v>134</v>
      </c>
      <c r="G10" s="21" t="s">
        <v>143</v>
      </c>
      <c r="I10" s="15" t="str">
        <f t="shared" si="0"/>
        <v>OK</v>
      </c>
    </row>
    <row r="11" spans="1:9" x14ac:dyDescent="0.3">
      <c r="A11" s="25"/>
      <c r="B11" s="25"/>
      <c r="C11" s="25"/>
      <c r="D11" s="26"/>
      <c r="E11" s="25"/>
      <c r="F11" s="25"/>
      <c r="G11" s="25"/>
      <c r="I11" s="15" t="str">
        <f t="shared" si="0"/>
        <v/>
      </c>
    </row>
    <row r="12" spans="1:9" x14ac:dyDescent="0.3">
      <c r="A12" s="25"/>
      <c r="B12" s="25"/>
      <c r="C12" s="25"/>
      <c r="D12" s="26"/>
      <c r="E12" s="25"/>
      <c r="F12" s="25"/>
      <c r="G12" s="25"/>
      <c r="I12" s="15" t="str">
        <f t="shared" si="0"/>
        <v/>
      </c>
    </row>
    <row r="13" spans="1:9" x14ac:dyDescent="0.3">
      <c r="A13" s="25"/>
      <c r="B13" s="25"/>
      <c r="C13" s="25"/>
      <c r="D13" s="26"/>
      <c r="E13" s="25"/>
      <c r="F13" s="25"/>
      <c r="G13" s="25"/>
      <c r="I13" s="15" t="str">
        <f t="shared" si="0"/>
        <v/>
      </c>
    </row>
    <row r="14" spans="1:9" x14ac:dyDescent="0.3">
      <c r="A14" s="25"/>
      <c r="B14" s="25"/>
      <c r="C14" s="25"/>
      <c r="D14" s="26"/>
      <c r="E14" s="25"/>
      <c r="F14" s="25"/>
      <c r="G14" s="25"/>
      <c r="I14" s="15" t="str">
        <f t="shared" si="0"/>
        <v/>
      </c>
    </row>
    <row r="15" spans="1:9" x14ac:dyDescent="0.3">
      <c r="A15" s="25"/>
      <c r="B15" s="25"/>
      <c r="C15" s="25"/>
      <c r="D15" s="26"/>
      <c r="E15" s="25"/>
      <c r="F15" s="25"/>
      <c r="G15" s="25"/>
      <c r="I15" s="15" t="str">
        <f t="shared" si="0"/>
        <v/>
      </c>
    </row>
    <row r="16" spans="1:9" x14ac:dyDescent="0.3">
      <c r="A16" s="25"/>
      <c r="B16" s="25"/>
      <c r="C16" s="25"/>
      <c r="D16" s="26"/>
      <c r="E16" s="25"/>
      <c r="F16" s="25"/>
      <c r="G16" s="25"/>
      <c r="I16" s="15" t="str">
        <f t="shared" si="0"/>
        <v/>
      </c>
    </row>
    <row r="17" spans="1:9" x14ac:dyDescent="0.3">
      <c r="A17" s="25"/>
      <c r="B17" s="25"/>
      <c r="C17" s="25"/>
      <c r="D17" s="26"/>
      <c r="E17" s="25"/>
      <c r="F17" s="25"/>
      <c r="G17" s="25"/>
      <c r="I17" s="15" t="str">
        <f t="shared" si="0"/>
        <v/>
      </c>
    </row>
    <row r="18" spans="1:9" x14ac:dyDescent="0.3">
      <c r="A18" s="25"/>
      <c r="B18" s="25"/>
      <c r="C18" s="25"/>
      <c r="D18" s="26"/>
      <c r="E18" s="25"/>
      <c r="F18" s="25"/>
      <c r="G18" s="25"/>
      <c r="I18" s="15" t="str">
        <f t="shared" si="0"/>
        <v/>
      </c>
    </row>
    <row r="19" spans="1:9" x14ac:dyDescent="0.3">
      <c r="A19" s="25"/>
      <c r="B19" s="25"/>
      <c r="C19" s="25"/>
      <c r="D19" s="26"/>
      <c r="E19" s="25"/>
      <c r="F19" s="25"/>
      <c r="G19" s="25"/>
      <c r="I19" s="15" t="str">
        <f t="shared" si="0"/>
        <v/>
      </c>
    </row>
    <row r="20" spans="1:9" x14ac:dyDescent="0.3">
      <c r="A20" s="25"/>
      <c r="B20" s="25"/>
      <c r="C20" s="25"/>
      <c r="D20" s="26"/>
      <c r="E20" s="25"/>
      <c r="F20" s="25"/>
      <c r="G20" s="25"/>
      <c r="I20" s="15" t="str">
        <f t="shared" si="0"/>
        <v/>
      </c>
    </row>
    <row r="21" spans="1:9" x14ac:dyDescent="0.3">
      <c r="A21" s="25"/>
      <c r="B21" s="25"/>
      <c r="C21" s="25"/>
      <c r="D21" s="26"/>
      <c r="E21" s="25"/>
      <c r="F21" s="25"/>
      <c r="G21" s="25"/>
      <c r="I21" s="15" t="str">
        <f t="shared" si="0"/>
        <v/>
      </c>
    </row>
    <row r="22" spans="1:9" x14ac:dyDescent="0.3">
      <c r="A22" s="25"/>
      <c r="B22" s="25"/>
      <c r="C22" s="25"/>
      <c r="D22" s="26"/>
      <c r="E22" s="25"/>
      <c r="F22" s="25"/>
      <c r="G22" s="25"/>
      <c r="I22" s="15" t="str">
        <f t="shared" si="0"/>
        <v/>
      </c>
    </row>
    <row r="23" spans="1:9" x14ac:dyDescent="0.3">
      <c r="A23" s="25"/>
      <c r="B23" s="25"/>
      <c r="C23" s="25"/>
      <c r="D23" s="26"/>
      <c r="E23" s="25"/>
      <c r="F23" s="25"/>
      <c r="G23" s="25"/>
      <c r="I23" s="15" t="str">
        <f t="shared" si="0"/>
        <v/>
      </c>
    </row>
    <row r="24" spans="1:9" x14ac:dyDescent="0.3">
      <c r="A24" s="25"/>
      <c r="B24" s="25"/>
      <c r="C24" s="25"/>
      <c r="D24" s="26"/>
      <c r="E24" s="25"/>
      <c r="F24" s="25"/>
      <c r="G24" s="25"/>
      <c r="I24" s="15" t="str">
        <f t="shared" si="0"/>
        <v/>
      </c>
    </row>
    <row r="25" spans="1:9" x14ac:dyDescent="0.3">
      <c r="A25" s="25"/>
      <c r="B25" s="25"/>
      <c r="C25" s="25"/>
      <c r="D25" s="26"/>
      <c r="E25" s="25"/>
      <c r="F25" s="25"/>
      <c r="G25" s="25"/>
      <c r="I25" s="15" t="str">
        <f t="shared" si="0"/>
        <v/>
      </c>
    </row>
    <row r="26" spans="1:9" x14ac:dyDescent="0.3">
      <c r="A26" s="25"/>
      <c r="B26" s="25"/>
      <c r="C26" s="25"/>
      <c r="D26" s="26"/>
      <c r="E26" s="25"/>
      <c r="F26" s="25"/>
      <c r="G26" s="25"/>
      <c r="I26" s="15" t="str">
        <f t="shared" si="0"/>
        <v/>
      </c>
    </row>
    <row r="27" spans="1:9" x14ac:dyDescent="0.3">
      <c r="A27" s="25"/>
      <c r="B27" s="25"/>
      <c r="C27" s="25"/>
      <c r="D27" s="26"/>
      <c r="E27" s="25"/>
      <c r="F27" s="25"/>
      <c r="G27" s="25"/>
      <c r="I27" s="15" t="str">
        <f t="shared" si="0"/>
        <v/>
      </c>
    </row>
    <row r="28" spans="1:9" x14ac:dyDescent="0.3">
      <c r="A28" s="25"/>
      <c r="B28" s="25"/>
      <c r="C28" s="25"/>
      <c r="D28" s="26"/>
      <c r="E28" s="25"/>
      <c r="F28" s="25"/>
      <c r="G28" s="25"/>
      <c r="I28" s="15" t="str">
        <f t="shared" si="0"/>
        <v/>
      </c>
    </row>
    <row r="29" spans="1:9" x14ac:dyDescent="0.3">
      <c r="A29" s="25"/>
      <c r="B29" s="25"/>
      <c r="C29" s="25"/>
      <c r="D29" s="26"/>
      <c r="E29" s="25"/>
      <c r="F29" s="25"/>
      <c r="G29" s="25"/>
      <c r="I29" s="15" t="str">
        <f t="shared" si="0"/>
        <v/>
      </c>
    </row>
    <row r="30" spans="1:9" x14ac:dyDescent="0.3">
      <c r="A30" s="25"/>
      <c r="B30" s="25"/>
      <c r="C30" s="25"/>
      <c r="D30" s="26"/>
      <c r="E30" s="25"/>
      <c r="F30" s="25"/>
      <c r="G30" s="25"/>
      <c r="I30" s="15" t="str">
        <f t="shared" si="0"/>
        <v/>
      </c>
    </row>
    <row r="31" spans="1:9" x14ac:dyDescent="0.3">
      <c r="A31" s="25"/>
      <c r="B31" s="25"/>
      <c r="C31" s="25"/>
      <c r="D31" s="26"/>
      <c r="E31" s="25"/>
      <c r="F31" s="25"/>
      <c r="G31" s="25"/>
      <c r="I31" s="15" t="str">
        <f t="shared" si="0"/>
        <v/>
      </c>
    </row>
    <row r="32" spans="1:9" x14ac:dyDescent="0.3">
      <c r="A32" s="25"/>
      <c r="B32" s="25"/>
      <c r="C32" s="25"/>
      <c r="D32" s="26"/>
      <c r="E32" s="25"/>
      <c r="F32" s="25"/>
      <c r="G32" s="25"/>
      <c r="I32" s="15" t="str">
        <f t="shared" si="0"/>
        <v/>
      </c>
    </row>
    <row r="33" spans="1:9" x14ac:dyDescent="0.3">
      <c r="A33" s="25"/>
      <c r="B33" s="25"/>
      <c r="C33" s="25"/>
      <c r="D33" s="26"/>
      <c r="E33" s="25"/>
      <c r="F33" s="25"/>
      <c r="G33" s="25"/>
      <c r="I33" s="15" t="str">
        <f t="shared" si="0"/>
        <v/>
      </c>
    </row>
    <row r="34" spans="1:9" x14ac:dyDescent="0.3">
      <c r="A34" s="25"/>
      <c r="B34" s="25"/>
      <c r="C34" s="25"/>
      <c r="D34" s="26"/>
      <c r="E34" s="25"/>
      <c r="F34" s="25"/>
      <c r="G34" s="25"/>
      <c r="I34" s="15" t="str">
        <f t="shared" si="0"/>
        <v/>
      </c>
    </row>
    <row r="35" spans="1:9" x14ac:dyDescent="0.3">
      <c r="A35" s="25"/>
      <c r="B35" s="25"/>
      <c r="C35" s="25"/>
      <c r="D35" s="26"/>
      <c r="E35" s="25"/>
      <c r="F35" s="25"/>
      <c r="G35" s="25"/>
      <c r="I35" s="15" t="str">
        <f t="shared" si="0"/>
        <v/>
      </c>
    </row>
    <row r="36" spans="1:9" x14ac:dyDescent="0.3">
      <c r="A36" s="25"/>
      <c r="B36" s="25"/>
      <c r="C36" s="25"/>
      <c r="D36" s="26"/>
      <c r="E36" s="25"/>
      <c r="F36" s="25"/>
      <c r="G36" s="25"/>
      <c r="I36" s="15" t="str">
        <f t="shared" si="0"/>
        <v/>
      </c>
    </row>
    <row r="37" spans="1:9" x14ac:dyDescent="0.3">
      <c r="A37" s="25"/>
      <c r="B37" s="25"/>
      <c r="C37" s="25"/>
      <c r="D37" s="26"/>
      <c r="E37" s="25"/>
      <c r="F37" s="25"/>
      <c r="G37" s="25"/>
      <c r="I37" s="15" t="str">
        <f t="shared" si="0"/>
        <v/>
      </c>
    </row>
    <row r="38" spans="1:9" x14ac:dyDescent="0.3">
      <c r="A38" s="25"/>
      <c r="B38" s="25"/>
      <c r="C38" s="25"/>
      <c r="D38" s="26"/>
      <c r="E38" s="25"/>
      <c r="F38" s="25"/>
      <c r="G38" s="25"/>
      <c r="I38" s="15" t="str">
        <f t="shared" si="0"/>
        <v/>
      </c>
    </row>
    <row r="39" spans="1:9" x14ac:dyDescent="0.3">
      <c r="A39" s="25"/>
      <c r="B39" s="25"/>
      <c r="C39" s="25"/>
      <c r="D39" s="26"/>
      <c r="E39" s="25"/>
      <c r="F39" s="25"/>
      <c r="G39" s="25"/>
      <c r="I39" s="15" t="str">
        <f t="shared" si="0"/>
        <v/>
      </c>
    </row>
    <row r="40" spans="1:9" x14ac:dyDescent="0.3">
      <c r="A40" s="25"/>
      <c r="B40" s="25"/>
      <c r="C40" s="25"/>
      <c r="D40" s="26"/>
      <c r="E40" s="25"/>
      <c r="F40" s="25"/>
      <c r="G40" s="25"/>
      <c r="I40" s="15" t="str">
        <f t="shared" si="0"/>
        <v/>
      </c>
    </row>
    <row r="41" spans="1:9" x14ac:dyDescent="0.3">
      <c r="A41" s="25"/>
      <c r="B41" s="25"/>
      <c r="C41" s="25"/>
      <c r="D41" s="26"/>
      <c r="E41" s="25"/>
      <c r="F41" s="25"/>
      <c r="G41" s="25"/>
      <c r="I41" s="15" t="str">
        <f t="shared" si="0"/>
        <v/>
      </c>
    </row>
    <row r="42" spans="1:9" x14ac:dyDescent="0.3">
      <c r="A42" s="25"/>
      <c r="B42" s="25"/>
      <c r="C42" s="25"/>
      <c r="D42" s="26"/>
      <c r="E42" s="25"/>
      <c r="F42" s="25"/>
      <c r="G42" s="25"/>
      <c r="I42" s="15" t="str">
        <f t="shared" si="0"/>
        <v/>
      </c>
    </row>
    <row r="43" spans="1:9" x14ac:dyDescent="0.3">
      <c r="A43" s="25"/>
      <c r="B43" s="25"/>
      <c r="C43" s="25"/>
      <c r="D43" s="26"/>
      <c r="E43" s="25"/>
      <c r="F43" s="25"/>
      <c r="G43" s="25"/>
      <c r="I43" s="15" t="str">
        <f t="shared" si="0"/>
        <v/>
      </c>
    </row>
    <row r="44" spans="1:9" x14ac:dyDescent="0.3">
      <c r="A44" s="25"/>
      <c r="B44" s="25"/>
      <c r="C44" s="25"/>
      <c r="D44" s="26"/>
      <c r="E44" s="25"/>
      <c r="F44" s="25"/>
      <c r="G44" s="25"/>
      <c r="I44" s="15" t="str">
        <f t="shared" si="0"/>
        <v/>
      </c>
    </row>
    <row r="45" spans="1:9" x14ac:dyDescent="0.3">
      <c r="A45" s="25"/>
      <c r="B45" s="25"/>
      <c r="C45" s="25"/>
      <c r="D45" s="26"/>
      <c r="E45" s="25"/>
      <c r="F45" s="25"/>
      <c r="G45" s="25"/>
      <c r="I45" s="15" t="str">
        <f t="shared" si="0"/>
        <v/>
      </c>
    </row>
    <row r="46" spans="1:9" x14ac:dyDescent="0.3">
      <c r="A46" s="25"/>
      <c r="B46" s="25"/>
      <c r="C46" s="25"/>
      <c r="D46" s="26"/>
      <c r="E46" s="25"/>
      <c r="F46" s="25"/>
      <c r="G46" s="25"/>
      <c r="I46" s="15" t="str">
        <f t="shared" si="0"/>
        <v/>
      </c>
    </row>
    <row r="47" spans="1:9" x14ac:dyDescent="0.3">
      <c r="A47" s="25"/>
      <c r="B47" s="25"/>
      <c r="C47" s="25"/>
      <c r="D47" s="26"/>
      <c r="E47" s="25"/>
      <c r="F47" s="25"/>
      <c r="G47" s="25"/>
      <c r="I47" s="15" t="str">
        <f t="shared" si="0"/>
        <v/>
      </c>
    </row>
    <row r="48" spans="1:9" x14ac:dyDescent="0.3">
      <c r="A48" s="25"/>
      <c r="B48" s="25"/>
      <c r="C48" s="25"/>
      <c r="D48" s="26"/>
      <c r="E48" s="25"/>
      <c r="F48" s="25"/>
      <c r="G48" s="25"/>
      <c r="I48" s="15" t="str">
        <f t="shared" si="0"/>
        <v/>
      </c>
    </row>
    <row r="49" spans="1:9" x14ac:dyDescent="0.3">
      <c r="A49" s="25"/>
      <c r="B49" s="25"/>
      <c r="C49" s="25"/>
      <c r="D49" s="26"/>
      <c r="E49" s="25"/>
      <c r="F49" s="25"/>
      <c r="G49" s="25"/>
      <c r="I49" s="15" t="str">
        <f t="shared" si="0"/>
        <v/>
      </c>
    </row>
    <row r="50" spans="1:9" x14ac:dyDescent="0.3">
      <c r="A50" s="25"/>
      <c r="B50" s="25"/>
      <c r="C50" s="25"/>
      <c r="D50" s="26"/>
      <c r="E50" s="25"/>
      <c r="F50" s="25"/>
      <c r="G50" s="25"/>
      <c r="I50" s="15" t="str">
        <f t="shared" si="0"/>
        <v/>
      </c>
    </row>
    <row r="51" spans="1:9" x14ac:dyDescent="0.3">
      <c r="A51" s="25"/>
      <c r="B51" s="25"/>
      <c r="C51" s="25"/>
      <c r="D51" s="26"/>
      <c r="E51" s="25"/>
      <c r="F51" s="25"/>
      <c r="G51" s="25"/>
      <c r="I51" s="15" t="str">
        <f t="shared" si="0"/>
        <v/>
      </c>
    </row>
    <row r="52" spans="1:9" x14ac:dyDescent="0.3">
      <c r="A52" s="25"/>
      <c r="B52" s="25"/>
      <c r="C52" s="25"/>
      <c r="D52" s="26"/>
      <c r="E52" s="25"/>
      <c r="F52" s="25"/>
      <c r="G52" s="25"/>
      <c r="I52" s="15" t="str">
        <f t="shared" si="0"/>
        <v/>
      </c>
    </row>
    <row r="53" spans="1:9" x14ac:dyDescent="0.3">
      <c r="A53" s="25"/>
      <c r="B53" s="25"/>
      <c r="C53" s="25"/>
      <c r="D53" s="26"/>
      <c r="E53" s="25"/>
      <c r="F53" s="25"/>
      <c r="G53" s="25"/>
      <c r="I53" s="15" t="str">
        <f t="shared" si="0"/>
        <v/>
      </c>
    </row>
    <row r="54" spans="1:9" x14ac:dyDescent="0.3">
      <c r="A54" s="25"/>
      <c r="B54" s="25"/>
      <c r="C54" s="25"/>
      <c r="D54" s="26"/>
      <c r="E54" s="25"/>
      <c r="F54" s="25"/>
      <c r="G54" s="25"/>
      <c r="I54" s="15" t="str">
        <f t="shared" si="0"/>
        <v/>
      </c>
    </row>
    <row r="55" spans="1:9" x14ac:dyDescent="0.3">
      <c r="A55" s="25"/>
      <c r="B55" s="25"/>
      <c r="C55" s="25"/>
      <c r="D55" s="26"/>
      <c r="E55" s="25"/>
      <c r="F55" s="25"/>
      <c r="G55" s="25"/>
      <c r="I55" s="15" t="str">
        <f t="shared" si="0"/>
        <v/>
      </c>
    </row>
    <row r="56" spans="1:9" x14ac:dyDescent="0.3">
      <c r="A56" s="25"/>
      <c r="B56" s="25"/>
      <c r="C56" s="25"/>
      <c r="D56" s="26"/>
      <c r="E56" s="25"/>
      <c r="F56" s="25"/>
      <c r="G56" s="25"/>
      <c r="I56" s="15" t="str">
        <f t="shared" si="0"/>
        <v/>
      </c>
    </row>
    <row r="57" spans="1:9" x14ac:dyDescent="0.3">
      <c r="A57" s="25"/>
      <c r="B57" s="25"/>
      <c r="C57" s="25"/>
      <c r="D57" s="26"/>
      <c r="E57" s="25"/>
      <c r="F57" s="25"/>
      <c r="G57" s="25"/>
      <c r="I57" s="15" t="str">
        <f t="shared" si="0"/>
        <v/>
      </c>
    </row>
    <row r="58" spans="1:9" x14ac:dyDescent="0.3">
      <c r="A58" s="25"/>
      <c r="B58" s="25"/>
      <c r="C58" s="25"/>
      <c r="D58" s="26"/>
      <c r="E58" s="25"/>
      <c r="F58" s="25"/>
      <c r="G58" s="25"/>
      <c r="I58" s="15" t="str">
        <f t="shared" si="0"/>
        <v/>
      </c>
    </row>
    <row r="59" spans="1:9" x14ac:dyDescent="0.3">
      <c r="A59" s="25"/>
      <c r="B59" s="25"/>
      <c r="C59" s="25"/>
      <c r="D59" s="26"/>
      <c r="E59" s="25"/>
      <c r="F59" s="25"/>
      <c r="G59" s="25"/>
      <c r="I59" s="15" t="str">
        <f t="shared" si="0"/>
        <v/>
      </c>
    </row>
    <row r="60" spans="1:9" x14ac:dyDescent="0.3">
      <c r="A60" s="25"/>
      <c r="B60" s="25"/>
      <c r="C60" s="25"/>
      <c r="D60" s="26"/>
      <c r="E60" s="25"/>
      <c r="F60" s="25"/>
      <c r="G60" s="25"/>
      <c r="I60" s="15" t="str">
        <f t="shared" si="0"/>
        <v/>
      </c>
    </row>
    <row r="61" spans="1:9" x14ac:dyDescent="0.3">
      <c r="A61" s="25"/>
      <c r="B61" s="25"/>
      <c r="C61" s="25"/>
      <c r="D61" s="26"/>
      <c r="E61" s="25"/>
      <c r="F61" s="25"/>
      <c r="G61" s="25"/>
      <c r="I61" s="15" t="str">
        <f t="shared" si="0"/>
        <v/>
      </c>
    </row>
    <row r="62" spans="1:9" x14ac:dyDescent="0.3">
      <c r="A62" s="25"/>
      <c r="B62" s="25"/>
      <c r="C62" s="25"/>
      <c r="D62" s="26"/>
      <c r="E62" s="25"/>
      <c r="F62" s="25"/>
      <c r="G62" s="25"/>
      <c r="I62" s="15" t="str">
        <f t="shared" si="0"/>
        <v/>
      </c>
    </row>
    <row r="63" spans="1:9" x14ac:dyDescent="0.3">
      <c r="A63" s="25"/>
      <c r="B63" s="25"/>
      <c r="C63" s="25"/>
      <c r="D63" s="26"/>
      <c r="E63" s="25"/>
      <c r="F63" s="25"/>
      <c r="G63" s="25"/>
      <c r="I63" s="15" t="str">
        <f t="shared" si="0"/>
        <v/>
      </c>
    </row>
    <row r="64" spans="1:9" x14ac:dyDescent="0.3">
      <c r="A64" s="25"/>
      <c r="B64" s="25"/>
      <c r="C64" s="25"/>
      <c r="D64" s="26"/>
      <c r="E64" s="25"/>
      <c r="F64" s="25"/>
      <c r="G64" s="25"/>
      <c r="I64" s="15" t="str">
        <f t="shared" si="0"/>
        <v/>
      </c>
    </row>
    <row r="65" spans="1:9" x14ac:dyDescent="0.3">
      <c r="A65" s="25"/>
      <c r="B65" s="25"/>
      <c r="C65" s="25"/>
      <c r="D65" s="26"/>
      <c r="E65" s="25"/>
      <c r="F65" s="25"/>
      <c r="G65" s="25"/>
      <c r="I65" s="15" t="str">
        <f t="shared" si="0"/>
        <v/>
      </c>
    </row>
    <row r="66" spans="1:9" x14ac:dyDescent="0.3">
      <c r="A66" s="25"/>
      <c r="B66" s="25"/>
      <c r="C66" s="25"/>
      <c r="D66" s="26"/>
      <c r="E66" s="25"/>
      <c r="F66" s="25"/>
      <c r="G66" s="25"/>
      <c r="I66" s="15" t="str">
        <f t="shared" si="0"/>
        <v/>
      </c>
    </row>
    <row r="67" spans="1:9" x14ac:dyDescent="0.3">
      <c r="A67" s="25"/>
      <c r="B67" s="25"/>
      <c r="C67" s="25"/>
      <c r="D67" s="26"/>
      <c r="E67" s="25"/>
      <c r="F67" s="25"/>
      <c r="G67" s="25"/>
      <c r="I67" s="15" t="str">
        <f t="shared" si="0"/>
        <v/>
      </c>
    </row>
    <row r="68" spans="1:9" x14ac:dyDescent="0.3">
      <c r="A68" s="25"/>
      <c r="B68" s="25"/>
      <c r="C68" s="25"/>
      <c r="D68" s="26"/>
      <c r="E68" s="25"/>
      <c r="F68" s="25"/>
      <c r="G68" s="25"/>
      <c r="I68" s="15" t="str">
        <f t="shared" ref="I68:I131" si="1">IF($A68="","",IF(COUNTIF(DAFTAR_NAMA,$A68)=0,"⚠️ NAMA TIDAK TERDAFTAR","OK"))</f>
        <v/>
      </c>
    </row>
    <row r="69" spans="1:9" x14ac:dyDescent="0.3">
      <c r="A69" s="25"/>
      <c r="B69" s="25"/>
      <c r="C69" s="25"/>
      <c r="D69" s="26"/>
      <c r="E69" s="25"/>
      <c r="F69" s="25"/>
      <c r="G69" s="25"/>
      <c r="I69" s="15" t="str">
        <f t="shared" si="1"/>
        <v/>
      </c>
    </row>
    <row r="70" spans="1:9" x14ac:dyDescent="0.3">
      <c r="A70" s="25"/>
      <c r="B70" s="25"/>
      <c r="C70" s="25"/>
      <c r="D70" s="26"/>
      <c r="E70" s="25"/>
      <c r="F70" s="25"/>
      <c r="G70" s="25"/>
      <c r="I70" s="15" t="str">
        <f t="shared" si="1"/>
        <v/>
      </c>
    </row>
    <row r="71" spans="1:9" x14ac:dyDescent="0.3">
      <c r="A71" s="25"/>
      <c r="B71" s="25"/>
      <c r="C71" s="25"/>
      <c r="D71" s="26"/>
      <c r="E71" s="25"/>
      <c r="F71" s="25"/>
      <c r="G71" s="25"/>
      <c r="I71" s="15" t="str">
        <f t="shared" si="1"/>
        <v/>
      </c>
    </row>
    <row r="72" spans="1:9" x14ac:dyDescent="0.3">
      <c r="A72" s="25"/>
      <c r="B72" s="25"/>
      <c r="C72" s="25"/>
      <c r="D72" s="26"/>
      <c r="E72" s="25"/>
      <c r="F72" s="25"/>
      <c r="G72" s="25"/>
      <c r="I72" s="15" t="str">
        <f t="shared" si="1"/>
        <v/>
      </c>
    </row>
    <row r="73" spans="1:9" x14ac:dyDescent="0.3">
      <c r="A73" s="25"/>
      <c r="B73" s="25"/>
      <c r="C73" s="25"/>
      <c r="D73" s="26"/>
      <c r="E73" s="25"/>
      <c r="F73" s="25"/>
      <c r="G73" s="25"/>
      <c r="I73" s="15" t="str">
        <f t="shared" si="1"/>
        <v/>
      </c>
    </row>
    <row r="74" spans="1:9" x14ac:dyDescent="0.3">
      <c r="A74" s="25"/>
      <c r="B74" s="25"/>
      <c r="C74" s="25"/>
      <c r="D74" s="26"/>
      <c r="E74" s="25"/>
      <c r="F74" s="25"/>
      <c r="G74" s="25"/>
      <c r="I74" s="15" t="str">
        <f t="shared" si="1"/>
        <v/>
      </c>
    </row>
    <row r="75" spans="1:9" x14ac:dyDescent="0.3">
      <c r="A75" s="25"/>
      <c r="B75" s="25"/>
      <c r="C75" s="25"/>
      <c r="D75" s="26"/>
      <c r="E75" s="25"/>
      <c r="F75" s="25"/>
      <c r="G75" s="25"/>
      <c r="I75" s="15" t="str">
        <f t="shared" si="1"/>
        <v/>
      </c>
    </row>
    <row r="76" spans="1:9" x14ac:dyDescent="0.3">
      <c r="A76" s="25"/>
      <c r="B76" s="25"/>
      <c r="C76" s="25"/>
      <c r="D76" s="26"/>
      <c r="E76" s="25"/>
      <c r="F76" s="25"/>
      <c r="G76" s="25"/>
      <c r="I76" s="15" t="str">
        <f t="shared" si="1"/>
        <v/>
      </c>
    </row>
    <row r="77" spans="1:9" x14ac:dyDescent="0.3">
      <c r="A77" s="25"/>
      <c r="B77" s="25"/>
      <c r="C77" s="25"/>
      <c r="D77" s="26"/>
      <c r="E77" s="25"/>
      <c r="F77" s="25"/>
      <c r="G77" s="25"/>
      <c r="I77" s="15" t="str">
        <f t="shared" si="1"/>
        <v/>
      </c>
    </row>
    <row r="78" spans="1:9" x14ac:dyDescent="0.3">
      <c r="A78" s="25"/>
      <c r="B78" s="25"/>
      <c r="C78" s="25"/>
      <c r="D78" s="26"/>
      <c r="E78" s="25"/>
      <c r="F78" s="25"/>
      <c r="G78" s="25"/>
      <c r="I78" s="15" t="str">
        <f t="shared" si="1"/>
        <v/>
      </c>
    </row>
    <row r="79" spans="1:9" x14ac:dyDescent="0.3">
      <c r="A79" s="25"/>
      <c r="B79" s="25"/>
      <c r="C79" s="25"/>
      <c r="D79" s="26"/>
      <c r="E79" s="25"/>
      <c r="F79" s="25"/>
      <c r="G79" s="25"/>
      <c r="I79" s="15" t="str">
        <f t="shared" si="1"/>
        <v/>
      </c>
    </row>
    <row r="80" spans="1:9" x14ac:dyDescent="0.3">
      <c r="A80" s="25"/>
      <c r="B80" s="25"/>
      <c r="C80" s="25"/>
      <c r="D80" s="26"/>
      <c r="E80" s="25"/>
      <c r="F80" s="25"/>
      <c r="G80" s="25"/>
      <c r="I80" s="15" t="str">
        <f t="shared" si="1"/>
        <v/>
      </c>
    </row>
    <row r="81" spans="1:9" x14ac:dyDescent="0.3">
      <c r="A81" s="25"/>
      <c r="B81" s="25"/>
      <c r="C81" s="25"/>
      <c r="D81" s="26"/>
      <c r="E81" s="25"/>
      <c r="F81" s="25"/>
      <c r="G81" s="25"/>
      <c r="I81" s="15" t="str">
        <f t="shared" si="1"/>
        <v/>
      </c>
    </row>
    <row r="82" spans="1:9" x14ac:dyDescent="0.3">
      <c r="A82" s="25"/>
      <c r="B82" s="25"/>
      <c r="C82" s="25"/>
      <c r="D82" s="26"/>
      <c r="E82" s="25"/>
      <c r="F82" s="25"/>
      <c r="G82" s="25"/>
      <c r="I82" s="15" t="str">
        <f t="shared" si="1"/>
        <v/>
      </c>
    </row>
    <row r="83" spans="1:9" x14ac:dyDescent="0.3">
      <c r="A83" s="25"/>
      <c r="B83" s="25"/>
      <c r="C83" s="25"/>
      <c r="D83" s="26"/>
      <c r="E83" s="25"/>
      <c r="F83" s="25"/>
      <c r="G83" s="25"/>
      <c r="I83" s="15" t="str">
        <f t="shared" si="1"/>
        <v/>
      </c>
    </row>
    <row r="84" spans="1:9" x14ac:dyDescent="0.3">
      <c r="A84" s="25"/>
      <c r="B84" s="25"/>
      <c r="C84" s="25"/>
      <c r="D84" s="26"/>
      <c r="E84" s="25"/>
      <c r="F84" s="25"/>
      <c r="G84" s="25"/>
      <c r="I84" s="15" t="str">
        <f t="shared" si="1"/>
        <v/>
      </c>
    </row>
    <row r="85" spans="1:9" x14ac:dyDescent="0.3">
      <c r="A85" s="25"/>
      <c r="B85" s="25"/>
      <c r="C85" s="25"/>
      <c r="D85" s="26"/>
      <c r="E85" s="25"/>
      <c r="F85" s="25"/>
      <c r="G85" s="25"/>
      <c r="I85" s="15" t="str">
        <f t="shared" si="1"/>
        <v/>
      </c>
    </row>
    <row r="86" spans="1:9" x14ac:dyDescent="0.3">
      <c r="A86" s="25"/>
      <c r="B86" s="25"/>
      <c r="C86" s="25"/>
      <c r="D86" s="26"/>
      <c r="E86" s="25"/>
      <c r="F86" s="25"/>
      <c r="G86" s="25"/>
      <c r="I86" s="15" t="str">
        <f t="shared" si="1"/>
        <v/>
      </c>
    </row>
    <row r="87" spans="1:9" x14ac:dyDescent="0.3">
      <c r="A87" s="25"/>
      <c r="B87" s="25"/>
      <c r="C87" s="25"/>
      <c r="D87" s="26"/>
      <c r="E87" s="25"/>
      <c r="F87" s="25"/>
      <c r="G87" s="25"/>
      <c r="I87" s="15" t="str">
        <f t="shared" si="1"/>
        <v/>
      </c>
    </row>
    <row r="88" spans="1:9" x14ac:dyDescent="0.3">
      <c r="A88" s="25"/>
      <c r="B88" s="25"/>
      <c r="C88" s="25"/>
      <c r="D88" s="26"/>
      <c r="E88" s="25"/>
      <c r="F88" s="25"/>
      <c r="G88" s="25"/>
      <c r="I88" s="15" t="str">
        <f t="shared" si="1"/>
        <v/>
      </c>
    </row>
    <row r="89" spans="1:9" x14ac:dyDescent="0.3">
      <c r="A89" s="25"/>
      <c r="B89" s="25"/>
      <c r="C89" s="25"/>
      <c r="D89" s="26"/>
      <c r="E89" s="25"/>
      <c r="F89" s="25"/>
      <c r="G89" s="25"/>
      <c r="I89" s="15" t="str">
        <f t="shared" si="1"/>
        <v/>
      </c>
    </row>
    <row r="90" spans="1:9" x14ac:dyDescent="0.3">
      <c r="A90" s="25"/>
      <c r="B90" s="25"/>
      <c r="C90" s="25"/>
      <c r="D90" s="26"/>
      <c r="E90" s="25"/>
      <c r="F90" s="25"/>
      <c r="G90" s="25"/>
      <c r="I90" s="15" t="str">
        <f t="shared" si="1"/>
        <v/>
      </c>
    </row>
    <row r="91" spans="1:9" x14ac:dyDescent="0.3">
      <c r="A91" s="25"/>
      <c r="B91" s="25"/>
      <c r="C91" s="25"/>
      <c r="D91" s="26"/>
      <c r="E91" s="25"/>
      <c r="F91" s="25"/>
      <c r="G91" s="25"/>
      <c r="I91" s="15" t="str">
        <f t="shared" si="1"/>
        <v/>
      </c>
    </row>
    <row r="92" spans="1:9" x14ac:dyDescent="0.3">
      <c r="A92" s="25"/>
      <c r="B92" s="25"/>
      <c r="C92" s="25"/>
      <c r="D92" s="26"/>
      <c r="E92" s="25"/>
      <c r="F92" s="25"/>
      <c r="G92" s="25"/>
      <c r="I92" s="15" t="str">
        <f t="shared" si="1"/>
        <v/>
      </c>
    </row>
    <row r="93" spans="1:9" x14ac:dyDescent="0.3">
      <c r="A93" s="25"/>
      <c r="B93" s="25"/>
      <c r="C93" s="25"/>
      <c r="D93" s="26"/>
      <c r="E93" s="25"/>
      <c r="F93" s="25"/>
      <c r="G93" s="25"/>
      <c r="I93" s="15" t="str">
        <f t="shared" si="1"/>
        <v/>
      </c>
    </row>
    <row r="94" spans="1:9" x14ac:dyDescent="0.3">
      <c r="A94" s="25"/>
      <c r="B94" s="25"/>
      <c r="C94" s="25"/>
      <c r="D94" s="26"/>
      <c r="E94" s="25"/>
      <c r="F94" s="25"/>
      <c r="G94" s="25"/>
      <c r="I94" s="15" t="str">
        <f t="shared" si="1"/>
        <v/>
      </c>
    </row>
    <row r="95" spans="1:9" x14ac:dyDescent="0.3">
      <c r="A95" s="25"/>
      <c r="B95" s="25"/>
      <c r="C95" s="25"/>
      <c r="D95" s="26"/>
      <c r="E95" s="25"/>
      <c r="F95" s="25"/>
      <c r="G95" s="25"/>
      <c r="I95" s="15" t="str">
        <f t="shared" si="1"/>
        <v/>
      </c>
    </row>
    <row r="96" spans="1:9" x14ac:dyDescent="0.3">
      <c r="A96" s="25"/>
      <c r="B96" s="25"/>
      <c r="C96" s="25"/>
      <c r="D96" s="26"/>
      <c r="E96" s="25"/>
      <c r="F96" s="25"/>
      <c r="G96" s="25"/>
      <c r="I96" s="15" t="str">
        <f t="shared" si="1"/>
        <v/>
      </c>
    </row>
    <row r="97" spans="1:9" x14ac:dyDescent="0.3">
      <c r="A97" s="25"/>
      <c r="B97" s="25"/>
      <c r="C97" s="25"/>
      <c r="D97" s="26"/>
      <c r="E97" s="25"/>
      <c r="F97" s="25"/>
      <c r="G97" s="25"/>
      <c r="I97" s="15" t="str">
        <f t="shared" si="1"/>
        <v/>
      </c>
    </row>
    <row r="98" spans="1:9" x14ac:dyDescent="0.3">
      <c r="A98" s="25"/>
      <c r="B98" s="25"/>
      <c r="C98" s="25"/>
      <c r="D98" s="26"/>
      <c r="E98" s="25"/>
      <c r="F98" s="25"/>
      <c r="G98" s="25"/>
      <c r="I98" s="15" t="str">
        <f t="shared" si="1"/>
        <v/>
      </c>
    </row>
    <row r="99" spans="1:9" x14ac:dyDescent="0.3">
      <c r="A99" s="25"/>
      <c r="B99" s="25"/>
      <c r="C99" s="25"/>
      <c r="D99" s="26"/>
      <c r="E99" s="25"/>
      <c r="F99" s="25"/>
      <c r="G99" s="25"/>
      <c r="I99" s="15" t="str">
        <f t="shared" si="1"/>
        <v/>
      </c>
    </row>
    <row r="100" spans="1:9" x14ac:dyDescent="0.3">
      <c r="A100" s="25"/>
      <c r="B100" s="25"/>
      <c r="C100" s="25"/>
      <c r="D100" s="26"/>
      <c r="E100" s="25"/>
      <c r="F100" s="25"/>
      <c r="G100" s="25"/>
      <c r="I100" s="15" t="str">
        <f t="shared" si="1"/>
        <v/>
      </c>
    </row>
    <row r="101" spans="1:9" x14ac:dyDescent="0.3">
      <c r="A101" s="25"/>
      <c r="B101" s="25"/>
      <c r="C101" s="25"/>
      <c r="D101" s="26"/>
      <c r="E101" s="25"/>
      <c r="F101" s="25"/>
      <c r="G101" s="25"/>
      <c r="I101" s="15" t="str">
        <f t="shared" si="1"/>
        <v/>
      </c>
    </row>
    <row r="102" spans="1:9" x14ac:dyDescent="0.3">
      <c r="A102" s="25"/>
      <c r="B102" s="25"/>
      <c r="C102" s="25"/>
      <c r="D102" s="26"/>
      <c r="E102" s="25"/>
      <c r="F102" s="25"/>
      <c r="G102" s="25"/>
      <c r="I102" s="15" t="str">
        <f t="shared" si="1"/>
        <v/>
      </c>
    </row>
    <row r="103" spans="1:9" x14ac:dyDescent="0.3">
      <c r="A103" s="25"/>
      <c r="B103" s="25"/>
      <c r="C103" s="25"/>
      <c r="D103" s="26"/>
      <c r="E103" s="25"/>
      <c r="F103" s="25"/>
      <c r="G103" s="25"/>
      <c r="I103" s="15" t="str">
        <f t="shared" si="1"/>
        <v/>
      </c>
    </row>
    <row r="104" spans="1:9" x14ac:dyDescent="0.3">
      <c r="A104" s="25"/>
      <c r="B104" s="25"/>
      <c r="C104" s="25"/>
      <c r="D104" s="26"/>
      <c r="E104" s="25"/>
      <c r="F104" s="25"/>
      <c r="G104" s="25"/>
      <c r="I104" s="15" t="str">
        <f t="shared" si="1"/>
        <v/>
      </c>
    </row>
    <row r="105" spans="1:9" x14ac:dyDescent="0.3">
      <c r="A105" s="25"/>
      <c r="B105" s="25"/>
      <c r="C105" s="25"/>
      <c r="D105" s="26"/>
      <c r="E105" s="25"/>
      <c r="F105" s="25"/>
      <c r="G105" s="25"/>
      <c r="I105" s="15" t="str">
        <f t="shared" si="1"/>
        <v/>
      </c>
    </row>
    <row r="106" spans="1:9" x14ac:dyDescent="0.3">
      <c r="A106" s="25"/>
      <c r="B106" s="25"/>
      <c r="C106" s="25"/>
      <c r="D106" s="26"/>
      <c r="E106" s="25"/>
      <c r="F106" s="25"/>
      <c r="G106" s="25"/>
      <c r="I106" s="15" t="str">
        <f t="shared" si="1"/>
        <v/>
      </c>
    </row>
    <row r="107" spans="1:9" x14ac:dyDescent="0.3">
      <c r="A107" s="25"/>
      <c r="B107" s="25"/>
      <c r="C107" s="25"/>
      <c r="D107" s="26"/>
      <c r="E107" s="25"/>
      <c r="F107" s="25"/>
      <c r="G107" s="25"/>
      <c r="I107" s="15" t="str">
        <f t="shared" si="1"/>
        <v/>
      </c>
    </row>
    <row r="108" spans="1:9" x14ac:dyDescent="0.3">
      <c r="A108" s="25"/>
      <c r="B108" s="25"/>
      <c r="C108" s="25"/>
      <c r="D108" s="26"/>
      <c r="E108" s="25"/>
      <c r="F108" s="25"/>
      <c r="G108" s="25"/>
      <c r="I108" s="15" t="str">
        <f t="shared" si="1"/>
        <v/>
      </c>
    </row>
    <row r="109" spans="1:9" x14ac:dyDescent="0.3">
      <c r="A109" s="25"/>
      <c r="B109" s="25"/>
      <c r="C109" s="25"/>
      <c r="D109" s="26"/>
      <c r="E109" s="25"/>
      <c r="F109" s="25"/>
      <c r="G109" s="25"/>
      <c r="I109" s="15" t="str">
        <f t="shared" si="1"/>
        <v/>
      </c>
    </row>
    <row r="110" spans="1:9" x14ac:dyDescent="0.3">
      <c r="A110" s="25"/>
      <c r="B110" s="25"/>
      <c r="C110" s="25"/>
      <c r="D110" s="26"/>
      <c r="E110" s="25"/>
      <c r="F110" s="25"/>
      <c r="G110" s="25"/>
      <c r="I110" s="15" t="str">
        <f t="shared" si="1"/>
        <v/>
      </c>
    </row>
    <row r="111" spans="1:9" x14ac:dyDescent="0.3">
      <c r="A111" s="25"/>
      <c r="B111" s="25"/>
      <c r="C111" s="25"/>
      <c r="D111" s="26"/>
      <c r="E111" s="25"/>
      <c r="F111" s="25"/>
      <c r="G111" s="25"/>
      <c r="I111" s="15" t="str">
        <f t="shared" si="1"/>
        <v/>
      </c>
    </row>
    <row r="112" spans="1:9" x14ac:dyDescent="0.3">
      <c r="A112" s="25"/>
      <c r="B112" s="25"/>
      <c r="C112" s="25"/>
      <c r="D112" s="26"/>
      <c r="E112" s="25"/>
      <c r="F112" s="25"/>
      <c r="G112" s="25"/>
      <c r="I112" s="15" t="str">
        <f t="shared" si="1"/>
        <v/>
      </c>
    </row>
    <row r="113" spans="1:9" x14ac:dyDescent="0.3">
      <c r="A113" s="25"/>
      <c r="B113" s="25"/>
      <c r="C113" s="25"/>
      <c r="D113" s="26"/>
      <c r="E113" s="25"/>
      <c r="F113" s="25"/>
      <c r="G113" s="25"/>
      <c r="I113" s="15" t="str">
        <f t="shared" si="1"/>
        <v/>
      </c>
    </row>
    <row r="114" spans="1:9" x14ac:dyDescent="0.3">
      <c r="A114" s="25"/>
      <c r="B114" s="25"/>
      <c r="C114" s="25"/>
      <c r="D114" s="26"/>
      <c r="E114" s="25"/>
      <c r="F114" s="25"/>
      <c r="G114" s="25"/>
      <c r="I114" s="15" t="str">
        <f t="shared" si="1"/>
        <v/>
      </c>
    </row>
    <row r="115" spans="1:9" x14ac:dyDescent="0.3">
      <c r="A115" s="25"/>
      <c r="B115" s="25"/>
      <c r="C115" s="25"/>
      <c r="D115" s="26"/>
      <c r="E115" s="25"/>
      <c r="F115" s="25"/>
      <c r="G115" s="25"/>
      <c r="I115" s="15" t="str">
        <f t="shared" si="1"/>
        <v/>
      </c>
    </row>
    <row r="116" spans="1:9" x14ac:dyDescent="0.3">
      <c r="A116" s="25"/>
      <c r="B116" s="25"/>
      <c r="C116" s="25"/>
      <c r="D116" s="26"/>
      <c r="E116" s="25"/>
      <c r="F116" s="25"/>
      <c r="G116" s="25"/>
      <c r="I116" s="15" t="str">
        <f t="shared" si="1"/>
        <v/>
      </c>
    </row>
    <row r="117" spans="1:9" x14ac:dyDescent="0.3">
      <c r="A117" s="25"/>
      <c r="B117" s="25"/>
      <c r="C117" s="25"/>
      <c r="D117" s="26"/>
      <c r="E117" s="25"/>
      <c r="F117" s="25"/>
      <c r="G117" s="25"/>
      <c r="I117" s="15" t="str">
        <f t="shared" si="1"/>
        <v/>
      </c>
    </row>
    <row r="118" spans="1:9" x14ac:dyDescent="0.3">
      <c r="A118" s="25"/>
      <c r="B118" s="25"/>
      <c r="C118" s="25"/>
      <c r="D118" s="26"/>
      <c r="E118" s="25"/>
      <c r="F118" s="25"/>
      <c r="G118" s="25"/>
      <c r="I118" s="15" t="str">
        <f t="shared" si="1"/>
        <v/>
      </c>
    </row>
    <row r="119" spans="1:9" x14ac:dyDescent="0.3">
      <c r="A119" s="25"/>
      <c r="B119" s="25"/>
      <c r="C119" s="25"/>
      <c r="D119" s="26"/>
      <c r="E119" s="25"/>
      <c r="F119" s="25"/>
      <c r="G119" s="25"/>
      <c r="I119" s="15" t="str">
        <f t="shared" si="1"/>
        <v/>
      </c>
    </row>
    <row r="120" spans="1:9" x14ac:dyDescent="0.3">
      <c r="A120" s="25"/>
      <c r="B120" s="25"/>
      <c r="C120" s="25"/>
      <c r="D120" s="26"/>
      <c r="E120" s="25"/>
      <c r="F120" s="25"/>
      <c r="G120" s="25"/>
      <c r="I120" s="15" t="str">
        <f t="shared" si="1"/>
        <v/>
      </c>
    </row>
    <row r="121" spans="1:9" x14ac:dyDescent="0.3">
      <c r="A121" s="25"/>
      <c r="B121" s="25"/>
      <c r="C121" s="25"/>
      <c r="D121" s="26"/>
      <c r="E121" s="25"/>
      <c r="F121" s="25"/>
      <c r="G121" s="25"/>
      <c r="I121" s="15" t="str">
        <f t="shared" si="1"/>
        <v/>
      </c>
    </row>
    <row r="122" spans="1:9" x14ac:dyDescent="0.3">
      <c r="A122" s="25"/>
      <c r="B122" s="25"/>
      <c r="C122" s="25"/>
      <c r="D122" s="26"/>
      <c r="E122" s="25"/>
      <c r="F122" s="25"/>
      <c r="G122" s="25"/>
      <c r="I122" s="15" t="str">
        <f t="shared" si="1"/>
        <v/>
      </c>
    </row>
    <row r="123" spans="1:9" x14ac:dyDescent="0.3">
      <c r="A123" s="25"/>
      <c r="B123" s="25"/>
      <c r="C123" s="25"/>
      <c r="D123" s="26"/>
      <c r="E123" s="25"/>
      <c r="F123" s="25"/>
      <c r="G123" s="25"/>
      <c r="I123" s="15" t="str">
        <f t="shared" si="1"/>
        <v/>
      </c>
    </row>
    <row r="124" spans="1:9" x14ac:dyDescent="0.3">
      <c r="A124" s="25"/>
      <c r="B124" s="25"/>
      <c r="C124" s="25"/>
      <c r="D124" s="26"/>
      <c r="E124" s="25"/>
      <c r="F124" s="25"/>
      <c r="G124" s="25"/>
      <c r="I124" s="15" t="str">
        <f t="shared" si="1"/>
        <v/>
      </c>
    </row>
    <row r="125" spans="1:9" x14ac:dyDescent="0.3">
      <c r="A125" s="25"/>
      <c r="B125" s="25"/>
      <c r="C125" s="25"/>
      <c r="D125" s="26"/>
      <c r="E125" s="25"/>
      <c r="F125" s="25"/>
      <c r="G125" s="25"/>
      <c r="I125" s="15" t="str">
        <f t="shared" si="1"/>
        <v/>
      </c>
    </row>
    <row r="126" spans="1:9" x14ac:dyDescent="0.3">
      <c r="A126" s="25"/>
      <c r="B126" s="25"/>
      <c r="C126" s="25"/>
      <c r="D126" s="26"/>
      <c r="E126" s="25"/>
      <c r="F126" s="25"/>
      <c r="G126" s="25"/>
      <c r="I126" s="15" t="str">
        <f t="shared" si="1"/>
        <v/>
      </c>
    </row>
    <row r="127" spans="1:9" x14ac:dyDescent="0.3">
      <c r="A127" s="25"/>
      <c r="B127" s="25"/>
      <c r="C127" s="25"/>
      <c r="D127" s="26"/>
      <c r="E127" s="25"/>
      <c r="F127" s="25"/>
      <c r="G127" s="25"/>
      <c r="I127" s="15" t="str">
        <f t="shared" si="1"/>
        <v/>
      </c>
    </row>
    <row r="128" spans="1:9" x14ac:dyDescent="0.3">
      <c r="A128" s="25"/>
      <c r="B128" s="25"/>
      <c r="C128" s="25"/>
      <c r="D128" s="26"/>
      <c r="E128" s="25"/>
      <c r="F128" s="25"/>
      <c r="G128" s="25"/>
      <c r="I128" s="15" t="str">
        <f t="shared" si="1"/>
        <v/>
      </c>
    </row>
    <row r="129" spans="1:9" x14ac:dyDescent="0.3">
      <c r="A129" s="25"/>
      <c r="B129" s="25"/>
      <c r="C129" s="25"/>
      <c r="D129" s="26"/>
      <c r="E129" s="25"/>
      <c r="F129" s="25"/>
      <c r="G129" s="25"/>
      <c r="I129" s="15" t="str">
        <f t="shared" si="1"/>
        <v/>
      </c>
    </row>
    <row r="130" spans="1:9" x14ac:dyDescent="0.3">
      <c r="A130" s="25"/>
      <c r="B130" s="25"/>
      <c r="C130" s="25"/>
      <c r="D130" s="26"/>
      <c r="E130" s="25"/>
      <c r="F130" s="25"/>
      <c r="G130" s="25"/>
      <c r="I130" s="15" t="str">
        <f t="shared" si="1"/>
        <v/>
      </c>
    </row>
    <row r="131" spans="1:9" x14ac:dyDescent="0.3">
      <c r="A131" s="25"/>
      <c r="B131" s="25"/>
      <c r="C131" s="25"/>
      <c r="D131" s="26"/>
      <c r="E131" s="25"/>
      <c r="F131" s="25"/>
      <c r="G131" s="25"/>
      <c r="I131" s="15" t="str">
        <f t="shared" si="1"/>
        <v/>
      </c>
    </row>
    <row r="132" spans="1:9" x14ac:dyDescent="0.3">
      <c r="A132" s="25"/>
      <c r="B132" s="25"/>
      <c r="C132" s="25"/>
      <c r="D132" s="26"/>
      <c r="E132" s="25"/>
      <c r="F132" s="25"/>
      <c r="G132" s="25"/>
      <c r="I132" s="15" t="str">
        <f t="shared" ref="I132:I195" si="2">IF($A132="","",IF(COUNTIF(DAFTAR_NAMA,$A132)=0,"⚠️ NAMA TIDAK TERDAFTAR","OK"))</f>
        <v/>
      </c>
    </row>
    <row r="133" spans="1:9" x14ac:dyDescent="0.3">
      <c r="A133" s="25"/>
      <c r="B133" s="25"/>
      <c r="C133" s="25"/>
      <c r="D133" s="26"/>
      <c r="E133" s="25"/>
      <c r="F133" s="25"/>
      <c r="G133" s="25"/>
      <c r="I133" s="15" t="str">
        <f t="shared" si="2"/>
        <v/>
      </c>
    </row>
    <row r="134" spans="1:9" x14ac:dyDescent="0.3">
      <c r="A134" s="25"/>
      <c r="B134" s="25"/>
      <c r="C134" s="25"/>
      <c r="D134" s="26"/>
      <c r="E134" s="25"/>
      <c r="F134" s="25"/>
      <c r="G134" s="25"/>
      <c r="I134" s="15" t="str">
        <f t="shared" si="2"/>
        <v/>
      </c>
    </row>
    <row r="135" spans="1:9" x14ac:dyDescent="0.3">
      <c r="A135" s="25"/>
      <c r="B135" s="25"/>
      <c r="C135" s="25"/>
      <c r="D135" s="26"/>
      <c r="E135" s="25"/>
      <c r="F135" s="25"/>
      <c r="G135" s="25"/>
      <c r="I135" s="15" t="str">
        <f t="shared" si="2"/>
        <v/>
      </c>
    </row>
    <row r="136" spans="1:9" x14ac:dyDescent="0.3">
      <c r="A136" s="25"/>
      <c r="B136" s="25"/>
      <c r="C136" s="25"/>
      <c r="D136" s="26"/>
      <c r="E136" s="25"/>
      <c r="F136" s="25"/>
      <c r="G136" s="25"/>
      <c r="I136" s="15" t="str">
        <f t="shared" si="2"/>
        <v/>
      </c>
    </row>
    <row r="137" spans="1:9" x14ac:dyDescent="0.3">
      <c r="A137" s="25"/>
      <c r="B137" s="25"/>
      <c r="C137" s="25"/>
      <c r="D137" s="26"/>
      <c r="E137" s="25"/>
      <c r="F137" s="25"/>
      <c r="G137" s="25"/>
      <c r="I137" s="15" t="str">
        <f t="shared" si="2"/>
        <v/>
      </c>
    </row>
    <row r="138" spans="1:9" x14ac:dyDescent="0.3">
      <c r="A138" s="25"/>
      <c r="B138" s="25"/>
      <c r="C138" s="25"/>
      <c r="D138" s="26"/>
      <c r="E138" s="25"/>
      <c r="F138" s="25"/>
      <c r="G138" s="25"/>
      <c r="I138" s="15" t="str">
        <f t="shared" si="2"/>
        <v/>
      </c>
    </row>
    <row r="139" spans="1:9" x14ac:dyDescent="0.3">
      <c r="A139" s="25"/>
      <c r="B139" s="25"/>
      <c r="C139" s="25"/>
      <c r="D139" s="26"/>
      <c r="E139" s="25"/>
      <c r="F139" s="25"/>
      <c r="G139" s="25"/>
      <c r="I139" s="15" t="str">
        <f t="shared" si="2"/>
        <v/>
      </c>
    </row>
    <row r="140" spans="1:9" x14ac:dyDescent="0.3">
      <c r="A140" s="25"/>
      <c r="B140" s="25"/>
      <c r="C140" s="25"/>
      <c r="D140" s="26"/>
      <c r="E140" s="25"/>
      <c r="F140" s="25"/>
      <c r="G140" s="25"/>
      <c r="I140" s="15" t="str">
        <f t="shared" si="2"/>
        <v/>
      </c>
    </row>
    <row r="141" spans="1:9" x14ac:dyDescent="0.3">
      <c r="A141" s="25"/>
      <c r="B141" s="25"/>
      <c r="C141" s="25"/>
      <c r="D141" s="26"/>
      <c r="E141" s="25"/>
      <c r="F141" s="25"/>
      <c r="G141" s="25"/>
      <c r="I141" s="15" t="str">
        <f t="shared" si="2"/>
        <v/>
      </c>
    </row>
    <row r="142" spans="1:9" x14ac:dyDescent="0.3">
      <c r="A142" s="25"/>
      <c r="B142" s="25"/>
      <c r="C142" s="25"/>
      <c r="D142" s="26"/>
      <c r="E142" s="25"/>
      <c r="F142" s="25"/>
      <c r="G142" s="25"/>
      <c r="I142" s="15" t="str">
        <f t="shared" si="2"/>
        <v/>
      </c>
    </row>
    <row r="143" spans="1:9" x14ac:dyDescent="0.3">
      <c r="A143" s="25"/>
      <c r="B143" s="25"/>
      <c r="C143" s="25"/>
      <c r="D143" s="26"/>
      <c r="E143" s="25"/>
      <c r="F143" s="25"/>
      <c r="G143" s="25"/>
      <c r="I143" s="15" t="str">
        <f t="shared" si="2"/>
        <v/>
      </c>
    </row>
    <row r="144" spans="1:9" x14ac:dyDescent="0.3">
      <c r="A144" s="25"/>
      <c r="B144" s="25"/>
      <c r="C144" s="25"/>
      <c r="D144" s="26"/>
      <c r="E144" s="25"/>
      <c r="F144" s="25"/>
      <c r="G144" s="25"/>
      <c r="I144" s="15" t="str">
        <f t="shared" si="2"/>
        <v/>
      </c>
    </row>
    <row r="145" spans="1:9" x14ac:dyDescent="0.3">
      <c r="A145" s="25"/>
      <c r="B145" s="25"/>
      <c r="C145" s="25"/>
      <c r="D145" s="26"/>
      <c r="E145" s="25"/>
      <c r="F145" s="25"/>
      <c r="G145" s="25"/>
      <c r="I145" s="15" t="str">
        <f t="shared" si="2"/>
        <v/>
      </c>
    </row>
    <row r="146" spans="1:9" x14ac:dyDescent="0.3">
      <c r="A146" s="25"/>
      <c r="B146" s="25"/>
      <c r="C146" s="25"/>
      <c r="D146" s="26"/>
      <c r="E146" s="25"/>
      <c r="F146" s="25"/>
      <c r="G146" s="25"/>
      <c r="I146" s="15" t="str">
        <f t="shared" si="2"/>
        <v/>
      </c>
    </row>
    <row r="147" spans="1:9" x14ac:dyDescent="0.3">
      <c r="A147" s="25"/>
      <c r="B147" s="25"/>
      <c r="C147" s="25"/>
      <c r="D147" s="26"/>
      <c r="E147" s="25"/>
      <c r="F147" s="25"/>
      <c r="G147" s="25"/>
      <c r="I147" s="15" t="str">
        <f t="shared" si="2"/>
        <v/>
      </c>
    </row>
    <row r="148" spans="1:9" x14ac:dyDescent="0.3">
      <c r="A148" s="25"/>
      <c r="B148" s="25"/>
      <c r="C148" s="25"/>
      <c r="D148" s="26"/>
      <c r="E148" s="25"/>
      <c r="F148" s="25"/>
      <c r="G148" s="25"/>
      <c r="I148" s="15" t="str">
        <f t="shared" si="2"/>
        <v/>
      </c>
    </row>
    <row r="149" spans="1:9" x14ac:dyDescent="0.3">
      <c r="A149" s="25"/>
      <c r="B149" s="25"/>
      <c r="C149" s="25"/>
      <c r="D149" s="26"/>
      <c r="E149" s="25"/>
      <c r="F149" s="25"/>
      <c r="G149" s="25"/>
      <c r="I149" s="15" t="str">
        <f t="shared" si="2"/>
        <v/>
      </c>
    </row>
    <row r="150" spans="1:9" x14ac:dyDescent="0.3">
      <c r="A150" s="25"/>
      <c r="B150" s="25"/>
      <c r="C150" s="25"/>
      <c r="D150" s="26"/>
      <c r="E150" s="25"/>
      <c r="F150" s="25"/>
      <c r="G150" s="25"/>
      <c r="I150" s="15" t="str">
        <f t="shared" si="2"/>
        <v/>
      </c>
    </row>
    <row r="151" spans="1:9" x14ac:dyDescent="0.3">
      <c r="A151" s="25"/>
      <c r="B151" s="25"/>
      <c r="C151" s="25"/>
      <c r="D151" s="26"/>
      <c r="E151" s="25"/>
      <c r="F151" s="25"/>
      <c r="G151" s="25"/>
      <c r="I151" s="15" t="str">
        <f t="shared" si="2"/>
        <v/>
      </c>
    </row>
    <row r="152" spans="1:9" x14ac:dyDescent="0.3">
      <c r="A152" s="25"/>
      <c r="B152" s="25"/>
      <c r="C152" s="25"/>
      <c r="D152" s="26"/>
      <c r="E152" s="25"/>
      <c r="F152" s="25"/>
      <c r="G152" s="25"/>
      <c r="I152" s="15" t="str">
        <f t="shared" si="2"/>
        <v/>
      </c>
    </row>
    <row r="153" spans="1:9" x14ac:dyDescent="0.3">
      <c r="A153" s="25"/>
      <c r="B153" s="25"/>
      <c r="C153" s="25"/>
      <c r="D153" s="26"/>
      <c r="E153" s="25"/>
      <c r="F153" s="25"/>
      <c r="G153" s="25"/>
      <c r="I153" s="15" t="str">
        <f t="shared" si="2"/>
        <v/>
      </c>
    </row>
    <row r="154" spans="1:9" x14ac:dyDescent="0.3">
      <c r="A154" s="25"/>
      <c r="B154" s="25"/>
      <c r="C154" s="25"/>
      <c r="D154" s="26"/>
      <c r="E154" s="25"/>
      <c r="F154" s="25"/>
      <c r="G154" s="25"/>
      <c r="I154" s="15" t="str">
        <f t="shared" si="2"/>
        <v/>
      </c>
    </row>
    <row r="155" spans="1:9" x14ac:dyDescent="0.3">
      <c r="A155" s="25"/>
      <c r="B155" s="25"/>
      <c r="C155" s="25"/>
      <c r="D155" s="26"/>
      <c r="E155" s="25"/>
      <c r="F155" s="25"/>
      <c r="G155" s="25"/>
      <c r="I155" s="15" t="str">
        <f t="shared" si="2"/>
        <v/>
      </c>
    </row>
    <row r="156" spans="1:9" x14ac:dyDescent="0.3">
      <c r="A156" s="25"/>
      <c r="B156" s="25"/>
      <c r="C156" s="25"/>
      <c r="D156" s="26"/>
      <c r="E156" s="25"/>
      <c r="F156" s="25"/>
      <c r="G156" s="25"/>
      <c r="I156" s="15" t="str">
        <f t="shared" si="2"/>
        <v/>
      </c>
    </row>
    <row r="157" spans="1:9" x14ac:dyDescent="0.3">
      <c r="A157" s="25"/>
      <c r="B157" s="25"/>
      <c r="C157" s="25"/>
      <c r="D157" s="26"/>
      <c r="E157" s="25"/>
      <c r="F157" s="25"/>
      <c r="G157" s="25"/>
      <c r="I157" s="15" t="str">
        <f t="shared" si="2"/>
        <v/>
      </c>
    </row>
    <row r="158" spans="1:9" x14ac:dyDescent="0.3">
      <c r="A158" s="25"/>
      <c r="B158" s="25"/>
      <c r="C158" s="25"/>
      <c r="D158" s="26"/>
      <c r="E158" s="25"/>
      <c r="F158" s="25"/>
      <c r="G158" s="25"/>
      <c r="I158" s="15" t="str">
        <f t="shared" si="2"/>
        <v/>
      </c>
    </row>
    <row r="159" spans="1:9" x14ac:dyDescent="0.3">
      <c r="A159" s="25"/>
      <c r="B159" s="25"/>
      <c r="C159" s="25"/>
      <c r="D159" s="26"/>
      <c r="E159" s="25"/>
      <c r="F159" s="25"/>
      <c r="G159" s="25"/>
      <c r="I159" s="15" t="str">
        <f t="shared" si="2"/>
        <v/>
      </c>
    </row>
    <row r="160" spans="1:9" x14ac:dyDescent="0.3">
      <c r="A160" s="25"/>
      <c r="B160" s="25"/>
      <c r="C160" s="25"/>
      <c r="D160" s="26"/>
      <c r="E160" s="25"/>
      <c r="F160" s="25"/>
      <c r="G160" s="25"/>
      <c r="I160" s="15" t="str">
        <f t="shared" si="2"/>
        <v/>
      </c>
    </row>
    <row r="161" spans="1:9" x14ac:dyDescent="0.3">
      <c r="A161" s="25"/>
      <c r="B161" s="25"/>
      <c r="C161" s="25"/>
      <c r="D161" s="26"/>
      <c r="E161" s="25"/>
      <c r="F161" s="25"/>
      <c r="G161" s="25"/>
      <c r="I161" s="15" t="str">
        <f t="shared" si="2"/>
        <v/>
      </c>
    </row>
    <row r="162" spans="1:9" x14ac:dyDescent="0.3">
      <c r="A162" s="25"/>
      <c r="B162" s="25"/>
      <c r="C162" s="25"/>
      <c r="D162" s="26"/>
      <c r="E162" s="25"/>
      <c r="F162" s="25"/>
      <c r="G162" s="25"/>
      <c r="I162" s="15" t="str">
        <f t="shared" si="2"/>
        <v/>
      </c>
    </row>
    <row r="163" spans="1:9" x14ac:dyDescent="0.3">
      <c r="A163" s="25"/>
      <c r="B163" s="25"/>
      <c r="C163" s="25"/>
      <c r="D163" s="26"/>
      <c r="E163" s="25"/>
      <c r="F163" s="25"/>
      <c r="G163" s="25"/>
      <c r="I163" s="15" t="str">
        <f t="shared" si="2"/>
        <v/>
      </c>
    </row>
    <row r="164" spans="1:9" x14ac:dyDescent="0.3">
      <c r="A164" s="25"/>
      <c r="B164" s="25"/>
      <c r="C164" s="25"/>
      <c r="D164" s="26"/>
      <c r="E164" s="25"/>
      <c r="F164" s="25"/>
      <c r="G164" s="25"/>
      <c r="I164" s="15" t="str">
        <f t="shared" si="2"/>
        <v/>
      </c>
    </row>
    <row r="165" spans="1:9" x14ac:dyDescent="0.3">
      <c r="A165" s="25"/>
      <c r="B165" s="25"/>
      <c r="C165" s="25"/>
      <c r="D165" s="26"/>
      <c r="E165" s="25"/>
      <c r="F165" s="25"/>
      <c r="G165" s="25"/>
      <c r="I165" s="15" t="str">
        <f t="shared" si="2"/>
        <v/>
      </c>
    </row>
    <row r="166" spans="1:9" x14ac:dyDescent="0.3">
      <c r="A166" s="25"/>
      <c r="B166" s="25"/>
      <c r="C166" s="25"/>
      <c r="D166" s="26"/>
      <c r="E166" s="25"/>
      <c r="F166" s="25"/>
      <c r="G166" s="25"/>
      <c r="I166" s="15" t="str">
        <f t="shared" si="2"/>
        <v/>
      </c>
    </row>
    <row r="167" spans="1:9" x14ac:dyDescent="0.3">
      <c r="A167" s="25"/>
      <c r="B167" s="25"/>
      <c r="C167" s="25"/>
      <c r="D167" s="26"/>
      <c r="E167" s="25"/>
      <c r="F167" s="25"/>
      <c r="G167" s="25"/>
      <c r="I167" s="15" t="str">
        <f t="shared" si="2"/>
        <v/>
      </c>
    </row>
    <row r="168" spans="1:9" x14ac:dyDescent="0.3">
      <c r="A168" s="25"/>
      <c r="B168" s="25"/>
      <c r="C168" s="25"/>
      <c r="D168" s="26"/>
      <c r="E168" s="25"/>
      <c r="F168" s="25"/>
      <c r="G168" s="25"/>
      <c r="I168" s="15" t="str">
        <f t="shared" si="2"/>
        <v/>
      </c>
    </row>
    <row r="169" spans="1:9" x14ac:dyDescent="0.3">
      <c r="A169" s="25"/>
      <c r="B169" s="25"/>
      <c r="C169" s="25"/>
      <c r="D169" s="26"/>
      <c r="E169" s="25"/>
      <c r="F169" s="25"/>
      <c r="G169" s="25"/>
      <c r="I169" s="15" t="str">
        <f t="shared" si="2"/>
        <v/>
      </c>
    </row>
    <row r="170" spans="1:9" x14ac:dyDescent="0.3">
      <c r="A170" s="25"/>
      <c r="B170" s="25"/>
      <c r="C170" s="25"/>
      <c r="D170" s="26"/>
      <c r="E170" s="25"/>
      <c r="F170" s="25"/>
      <c r="G170" s="25"/>
      <c r="I170" s="15" t="str">
        <f t="shared" si="2"/>
        <v/>
      </c>
    </row>
    <row r="171" spans="1:9" x14ac:dyDescent="0.3">
      <c r="A171" s="25"/>
      <c r="B171" s="25"/>
      <c r="C171" s="25"/>
      <c r="D171" s="26"/>
      <c r="E171" s="25"/>
      <c r="F171" s="25"/>
      <c r="G171" s="25"/>
      <c r="I171" s="15" t="str">
        <f t="shared" si="2"/>
        <v/>
      </c>
    </row>
    <row r="172" spans="1:9" x14ac:dyDescent="0.3">
      <c r="A172" s="25"/>
      <c r="B172" s="25"/>
      <c r="C172" s="25"/>
      <c r="D172" s="26"/>
      <c r="E172" s="25"/>
      <c r="F172" s="25"/>
      <c r="G172" s="25"/>
      <c r="I172" s="15" t="str">
        <f t="shared" si="2"/>
        <v/>
      </c>
    </row>
    <row r="173" spans="1:9" x14ac:dyDescent="0.3">
      <c r="A173" s="25"/>
      <c r="B173" s="25"/>
      <c r="C173" s="25"/>
      <c r="D173" s="26"/>
      <c r="E173" s="25"/>
      <c r="F173" s="25"/>
      <c r="G173" s="25"/>
      <c r="I173" s="15" t="str">
        <f t="shared" si="2"/>
        <v/>
      </c>
    </row>
    <row r="174" spans="1:9" x14ac:dyDescent="0.3">
      <c r="A174" s="25"/>
      <c r="B174" s="25"/>
      <c r="C174" s="25"/>
      <c r="D174" s="26"/>
      <c r="E174" s="25"/>
      <c r="F174" s="25"/>
      <c r="G174" s="25"/>
      <c r="I174" s="15" t="str">
        <f t="shared" si="2"/>
        <v/>
      </c>
    </row>
    <row r="175" spans="1:9" x14ac:dyDescent="0.3">
      <c r="A175" s="25"/>
      <c r="B175" s="25"/>
      <c r="C175" s="25"/>
      <c r="D175" s="26"/>
      <c r="E175" s="25"/>
      <c r="F175" s="25"/>
      <c r="G175" s="25"/>
      <c r="I175" s="15" t="str">
        <f t="shared" si="2"/>
        <v/>
      </c>
    </row>
    <row r="176" spans="1:9" x14ac:dyDescent="0.3">
      <c r="A176" s="25"/>
      <c r="B176" s="25"/>
      <c r="C176" s="25"/>
      <c r="D176" s="26"/>
      <c r="E176" s="25"/>
      <c r="F176" s="25"/>
      <c r="G176" s="25"/>
      <c r="I176" s="15" t="str">
        <f t="shared" si="2"/>
        <v/>
      </c>
    </row>
    <row r="177" spans="1:9" x14ac:dyDescent="0.3">
      <c r="A177" s="25"/>
      <c r="B177" s="25"/>
      <c r="C177" s="25"/>
      <c r="D177" s="26"/>
      <c r="E177" s="25"/>
      <c r="F177" s="25"/>
      <c r="G177" s="25"/>
      <c r="I177" s="15" t="str">
        <f t="shared" si="2"/>
        <v/>
      </c>
    </row>
    <row r="178" spans="1:9" x14ac:dyDescent="0.3">
      <c r="A178" s="25"/>
      <c r="B178" s="25"/>
      <c r="C178" s="25"/>
      <c r="D178" s="26"/>
      <c r="E178" s="25"/>
      <c r="F178" s="25"/>
      <c r="G178" s="25"/>
      <c r="I178" s="15" t="str">
        <f t="shared" si="2"/>
        <v/>
      </c>
    </row>
    <row r="179" spans="1:9" x14ac:dyDescent="0.3">
      <c r="A179" s="25"/>
      <c r="B179" s="25"/>
      <c r="C179" s="25"/>
      <c r="D179" s="26"/>
      <c r="E179" s="25"/>
      <c r="F179" s="25"/>
      <c r="G179" s="25"/>
      <c r="I179" s="15" t="str">
        <f t="shared" si="2"/>
        <v/>
      </c>
    </row>
    <row r="180" spans="1:9" x14ac:dyDescent="0.3">
      <c r="A180" s="25"/>
      <c r="B180" s="25"/>
      <c r="C180" s="25"/>
      <c r="D180" s="26"/>
      <c r="E180" s="25"/>
      <c r="F180" s="25"/>
      <c r="G180" s="25"/>
      <c r="I180" s="15" t="str">
        <f t="shared" si="2"/>
        <v/>
      </c>
    </row>
    <row r="181" spans="1:9" x14ac:dyDescent="0.3">
      <c r="A181" s="25"/>
      <c r="B181" s="25"/>
      <c r="C181" s="25"/>
      <c r="D181" s="26"/>
      <c r="E181" s="25"/>
      <c r="F181" s="25"/>
      <c r="G181" s="25"/>
      <c r="I181" s="15" t="str">
        <f t="shared" si="2"/>
        <v/>
      </c>
    </row>
    <row r="182" spans="1:9" x14ac:dyDescent="0.3">
      <c r="A182" s="25"/>
      <c r="B182" s="25"/>
      <c r="C182" s="25"/>
      <c r="D182" s="26"/>
      <c r="E182" s="25"/>
      <c r="F182" s="25"/>
      <c r="G182" s="25"/>
      <c r="I182" s="15" t="str">
        <f t="shared" si="2"/>
        <v/>
      </c>
    </row>
    <row r="183" spans="1:9" x14ac:dyDescent="0.3">
      <c r="A183" s="25"/>
      <c r="B183" s="25"/>
      <c r="C183" s="25"/>
      <c r="D183" s="26"/>
      <c r="E183" s="25"/>
      <c r="F183" s="25"/>
      <c r="G183" s="25"/>
      <c r="I183" s="15" t="str">
        <f t="shared" si="2"/>
        <v/>
      </c>
    </row>
    <row r="184" spans="1:9" x14ac:dyDescent="0.3">
      <c r="A184" s="25"/>
      <c r="B184" s="25"/>
      <c r="C184" s="25"/>
      <c r="D184" s="26"/>
      <c r="E184" s="25"/>
      <c r="F184" s="25"/>
      <c r="G184" s="25"/>
      <c r="I184" s="15" t="str">
        <f t="shared" si="2"/>
        <v/>
      </c>
    </row>
    <row r="185" spans="1:9" x14ac:dyDescent="0.3">
      <c r="A185" s="25"/>
      <c r="B185" s="25"/>
      <c r="C185" s="25"/>
      <c r="D185" s="26"/>
      <c r="E185" s="25"/>
      <c r="F185" s="25"/>
      <c r="G185" s="25"/>
      <c r="I185" s="15" t="str">
        <f t="shared" si="2"/>
        <v/>
      </c>
    </row>
    <row r="186" spans="1:9" x14ac:dyDescent="0.3">
      <c r="A186" s="25"/>
      <c r="B186" s="25"/>
      <c r="C186" s="25"/>
      <c r="D186" s="26"/>
      <c r="E186" s="25"/>
      <c r="F186" s="25"/>
      <c r="G186" s="25"/>
      <c r="I186" s="15" t="str">
        <f t="shared" si="2"/>
        <v/>
      </c>
    </row>
    <row r="187" spans="1:9" x14ac:dyDescent="0.3">
      <c r="A187" s="25"/>
      <c r="B187" s="25"/>
      <c r="C187" s="25"/>
      <c r="D187" s="26"/>
      <c r="E187" s="25"/>
      <c r="F187" s="25"/>
      <c r="G187" s="25"/>
      <c r="I187" s="15" t="str">
        <f t="shared" si="2"/>
        <v/>
      </c>
    </row>
    <row r="188" spans="1:9" x14ac:dyDescent="0.3">
      <c r="A188" s="25"/>
      <c r="B188" s="25"/>
      <c r="C188" s="25"/>
      <c r="D188" s="26"/>
      <c r="E188" s="25"/>
      <c r="F188" s="25"/>
      <c r="G188" s="25"/>
      <c r="I188" s="15" t="str">
        <f t="shared" si="2"/>
        <v/>
      </c>
    </row>
    <row r="189" spans="1:9" x14ac:dyDescent="0.3">
      <c r="A189" s="25"/>
      <c r="B189" s="25"/>
      <c r="C189" s="25"/>
      <c r="D189" s="26"/>
      <c r="E189" s="25"/>
      <c r="F189" s="25"/>
      <c r="G189" s="25"/>
      <c r="I189" s="15" t="str">
        <f t="shared" si="2"/>
        <v/>
      </c>
    </row>
    <row r="190" spans="1:9" x14ac:dyDescent="0.3">
      <c r="A190" s="25"/>
      <c r="B190" s="25"/>
      <c r="C190" s="25"/>
      <c r="D190" s="26"/>
      <c r="E190" s="25"/>
      <c r="F190" s="25"/>
      <c r="G190" s="25"/>
      <c r="I190" s="15" t="str">
        <f t="shared" si="2"/>
        <v/>
      </c>
    </row>
    <row r="191" spans="1:9" x14ac:dyDescent="0.3">
      <c r="A191" s="25"/>
      <c r="B191" s="25"/>
      <c r="C191" s="25"/>
      <c r="D191" s="26"/>
      <c r="E191" s="25"/>
      <c r="F191" s="25"/>
      <c r="G191" s="25"/>
      <c r="I191" s="15" t="str">
        <f t="shared" si="2"/>
        <v/>
      </c>
    </row>
    <row r="192" spans="1:9" x14ac:dyDescent="0.3">
      <c r="A192" s="25"/>
      <c r="B192" s="25"/>
      <c r="C192" s="25"/>
      <c r="D192" s="26"/>
      <c r="E192" s="25"/>
      <c r="F192" s="25"/>
      <c r="G192" s="25"/>
      <c r="I192" s="15" t="str">
        <f t="shared" si="2"/>
        <v/>
      </c>
    </row>
    <row r="193" spans="1:9" x14ac:dyDescent="0.3">
      <c r="A193" s="25"/>
      <c r="B193" s="25"/>
      <c r="C193" s="25"/>
      <c r="D193" s="26"/>
      <c r="E193" s="25"/>
      <c r="F193" s="25"/>
      <c r="G193" s="25"/>
      <c r="I193" s="15" t="str">
        <f t="shared" si="2"/>
        <v/>
      </c>
    </row>
    <row r="194" spans="1:9" x14ac:dyDescent="0.3">
      <c r="A194" s="25"/>
      <c r="B194" s="25"/>
      <c r="C194" s="25"/>
      <c r="D194" s="26"/>
      <c r="E194" s="25"/>
      <c r="F194" s="25"/>
      <c r="G194" s="25"/>
      <c r="I194" s="15" t="str">
        <f t="shared" si="2"/>
        <v/>
      </c>
    </row>
    <row r="195" spans="1:9" x14ac:dyDescent="0.3">
      <c r="A195" s="25"/>
      <c r="B195" s="25"/>
      <c r="C195" s="25"/>
      <c r="D195" s="26"/>
      <c r="E195" s="25"/>
      <c r="F195" s="25"/>
      <c r="G195" s="25"/>
      <c r="I195" s="15" t="str">
        <f t="shared" si="2"/>
        <v/>
      </c>
    </row>
    <row r="196" spans="1:9" x14ac:dyDescent="0.3">
      <c r="A196" s="25"/>
      <c r="B196" s="25"/>
      <c r="C196" s="25"/>
      <c r="D196" s="26"/>
      <c r="E196" s="25"/>
      <c r="F196" s="25"/>
      <c r="G196" s="25"/>
      <c r="I196" s="15" t="str">
        <f t="shared" ref="I196:I259" si="3">IF($A196="","",IF(COUNTIF(DAFTAR_NAMA,$A196)=0,"⚠️ NAMA TIDAK TERDAFTAR","OK"))</f>
        <v/>
      </c>
    </row>
    <row r="197" spans="1:9" x14ac:dyDescent="0.3">
      <c r="A197" s="25"/>
      <c r="B197" s="25"/>
      <c r="C197" s="25"/>
      <c r="D197" s="26"/>
      <c r="E197" s="25"/>
      <c r="F197" s="25"/>
      <c r="G197" s="25"/>
      <c r="I197" s="15" t="str">
        <f t="shared" si="3"/>
        <v/>
      </c>
    </row>
    <row r="198" spans="1:9" x14ac:dyDescent="0.3">
      <c r="A198" s="25"/>
      <c r="B198" s="25"/>
      <c r="C198" s="25"/>
      <c r="D198" s="26"/>
      <c r="E198" s="25"/>
      <c r="F198" s="25"/>
      <c r="G198" s="25"/>
      <c r="I198" s="15" t="str">
        <f t="shared" si="3"/>
        <v/>
      </c>
    </row>
    <row r="199" spans="1:9" x14ac:dyDescent="0.3">
      <c r="A199" s="25"/>
      <c r="B199" s="25"/>
      <c r="C199" s="25"/>
      <c r="D199" s="26"/>
      <c r="E199" s="25"/>
      <c r="F199" s="25"/>
      <c r="G199" s="25"/>
      <c r="I199" s="15" t="str">
        <f t="shared" si="3"/>
        <v/>
      </c>
    </row>
    <row r="200" spans="1:9" x14ac:dyDescent="0.3">
      <c r="A200" s="25"/>
      <c r="B200" s="25"/>
      <c r="C200" s="25"/>
      <c r="D200" s="26"/>
      <c r="E200" s="25"/>
      <c r="F200" s="25"/>
      <c r="G200" s="25"/>
      <c r="I200" s="15" t="str">
        <f t="shared" si="3"/>
        <v/>
      </c>
    </row>
    <row r="201" spans="1:9" x14ac:dyDescent="0.3">
      <c r="A201" s="25"/>
      <c r="B201" s="25"/>
      <c r="C201" s="25"/>
      <c r="D201" s="26"/>
      <c r="E201" s="25"/>
      <c r="F201" s="25"/>
      <c r="G201" s="25"/>
      <c r="I201" s="15" t="str">
        <f t="shared" si="3"/>
        <v/>
      </c>
    </row>
    <row r="202" spans="1:9" x14ac:dyDescent="0.3">
      <c r="A202" s="25"/>
      <c r="B202" s="25"/>
      <c r="C202" s="25"/>
      <c r="D202" s="26"/>
      <c r="E202" s="25"/>
      <c r="F202" s="25"/>
      <c r="G202" s="25"/>
      <c r="I202" s="15" t="str">
        <f t="shared" si="3"/>
        <v/>
      </c>
    </row>
    <row r="203" spans="1:9" x14ac:dyDescent="0.3">
      <c r="A203" s="25"/>
      <c r="B203" s="25"/>
      <c r="C203" s="25"/>
      <c r="D203" s="26"/>
      <c r="E203" s="25"/>
      <c r="F203" s="25"/>
      <c r="G203" s="25"/>
      <c r="I203" s="15" t="str">
        <f t="shared" si="3"/>
        <v/>
      </c>
    </row>
    <row r="204" spans="1:9" x14ac:dyDescent="0.3">
      <c r="A204" s="25"/>
      <c r="B204" s="25"/>
      <c r="C204" s="25"/>
      <c r="D204" s="26"/>
      <c r="E204" s="25"/>
      <c r="F204" s="25"/>
      <c r="G204" s="25"/>
      <c r="I204" s="15" t="str">
        <f t="shared" si="3"/>
        <v/>
      </c>
    </row>
    <row r="205" spans="1:9" x14ac:dyDescent="0.3">
      <c r="A205" s="25"/>
      <c r="B205" s="25"/>
      <c r="C205" s="25"/>
      <c r="D205" s="26"/>
      <c r="E205" s="25"/>
      <c r="F205" s="25"/>
      <c r="G205" s="25"/>
      <c r="I205" s="15" t="str">
        <f t="shared" si="3"/>
        <v/>
      </c>
    </row>
    <row r="206" spans="1:9" x14ac:dyDescent="0.3">
      <c r="A206" s="25"/>
      <c r="B206" s="25"/>
      <c r="C206" s="25"/>
      <c r="D206" s="26"/>
      <c r="E206" s="25"/>
      <c r="F206" s="25"/>
      <c r="G206" s="25"/>
      <c r="I206" s="15" t="str">
        <f t="shared" si="3"/>
        <v/>
      </c>
    </row>
    <row r="207" spans="1:9" x14ac:dyDescent="0.3">
      <c r="A207" s="25"/>
      <c r="B207" s="25"/>
      <c r="C207" s="25"/>
      <c r="D207" s="26"/>
      <c r="E207" s="25"/>
      <c r="F207" s="25"/>
      <c r="G207" s="25"/>
      <c r="I207" s="15" t="str">
        <f t="shared" si="3"/>
        <v/>
      </c>
    </row>
    <row r="208" spans="1:9" x14ac:dyDescent="0.3">
      <c r="A208" s="25"/>
      <c r="B208" s="25"/>
      <c r="C208" s="25"/>
      <c r="D208" s="26"/>
      <c r="E208" s="25"/>
      <c r="F208" s="25"/>
      <c r="G208" s="25"/>
      <c r="I208" s="15" t="str">
        <f t="shared" si="3"/>
        <v/>
      </c>
    </row>
    <row r="209" spans="1:9" x14ac:dyDescent="0.3">
      <c r="A209" s="25"/>
      <c r="B209" s="25"/>
      <c r="C209" s="25"/>
      <c r="D209" s="26"/>
      <c r="E209" s="25"/>
      <c r="F209" s="25"/>
      <c r="G209" s="25"/>
      <c r="I209" s="15" t="str">
        <f t="shared" si="3"/>
        <v/>
      </c>
    </row>
    <row r="210" spans="1:9" x14ac:dyDescent="0.3">
      <c r="A210" s="25"/>
      <c r="B210" s="25"/>
      <c r="C210" s="25"/>
      <c r="D210" s="26"/>
      <c r="E210" s="25"/>
      <c r="F210" s="25"/>
      <c r="G210" s="25"/>
      <c r="I210" s="15" t="str">
        <f t="shared" si="3"/>
        <v/>
      </c>
    </row>
    <row r="211" spans="1:9" x14ac:dyDescent="0.3">
      <c r="A211" s="25"/>
      <c r="B211" s="25"/>
      <c r="C211" s="25"/>
      <c r="D211" s="26"/>
      <c r="E211" s="25"/>
      <c r="F211" s="25"/>
      <c r="G211" s="25"/>
      <c r="I211" s="15" t="str">
        <f t="shared" si="3"/>
        <v/>
      </c>
    </row>
    <row r="212" spans="1:9" x14ac:dyDescent="0.3">
      <c r="A212" s="25"/>
      <c r="B212" s="25"/>
      <c r="C212" s="25"/>
      <c r="D212" s="26"/>
      <c r="E212" s="25"/>
      <c r="F212" s="25"/>
      <c r="G212" s="25"/>
      <c r="I212" s="15" t="str">
        <f t="shared" si="3"/>
        <v/>
      </c>
    </row>
    <row r="213" spans="1:9" x14ac:dyDescent="0.3">
      <c r="A213" s="25"/>
      <c r="B213" s="25"/>
      <c r="C213" s="25"/>
      <c r="D213" s="26"/>
      <c r="E213" s="25"/>
      <c r="F213" s="25"/>
      <c r="G213" s="25"/>
      <c r="I213" s="15" t="str">
        <f t="shared" si="3"/>
        <v/>
      </c>
    </row>
    <row r="214" spans="1:9" x14ac:dyDescent="0.3">
      <c r="A214" s="25"/>
      <c r="B214" s="25"/>
      <c r="C214" s="25"/>
      <c r="D214" s="26"/>
      <c r="E214" s="25"/>
      <c r="F214" s="25"/>
      <c r="G214" s="25"/>
      <c r="I214" s="15" t="str">
        <f t="shared" si="3"/>
        <v/>
      </c>
    </row>
    <row r="215" spans="1:9" x14ac:dyDescent="0.3">
      <c r="A215" s="25"/>
      <c r="B215" s="25"/>
      <c r="C215" s="25"/>
      <c r="D215" s="26"/>
      <c r="E215" s="25"/>
      <c r="F215" s="25"/>
      <c r="G215" s="25"/>
      <c r="I215" s="15" t="str">
        <f t="shared" si="3"/>
        <v/>
      </c>
    </row>
    <row r="216" spans="1:9" x14ac:dyDescent="0.3">
      <c r="A216" s="25"/>
      <c r="B216" s="25"/>
      <c r="C216" s="25"/>
      <c r="D216" s="26"/>
      <c r="E216" s="25"/>
      <c r="F216" s="25"/>
      <c r="G216" s="25"/>
      <c r="I216" s="15" t="str">
        <f t="shared" si="3"/>
        <v/>
      </c>
    </row>
    <row r="217" spans="1:9" x14ac:dyDescent="0.3">
      <c r="A217" s="25"/>
      <c r="B217" s="25"/>
      <c r="C217" s="25"/>
      <c r="D217" s="26"/>
      <c r="E217" s="25"/>
      <c r="F217" s="25"/>
      <c r="G217" s="25"/>
      <c r="I217" s="15" t="str">
        <f t="shared" si="3"/>
        <v/>
      </c>
    </row>
    <row r="218" spans="1:9" x14ac:dyDescent="0.3">
      <c r="A218" s="25"/>
      <c r="B218" s="25"/>
      <c r="C218" s="25"/>
      <c r="D218" s="26"/>
      <c r="E218" s="25"/>
      <c r="F218" s="25"/>
      <c r="G218" s="25"/>
      <c r="I218" s="15" t="str">
        <f t="shared" si="3"/>
        <v/>
      </c>
    </row>
    <row r="219" spans="1:9" x14ac:dyDescent="0.3">
      <c r="A219" s="25"/>
      <c r="B219" s="25"/>
      <c r="C219" s="25"/>
      <c r="D219" s="26"/>
      <c r="E219" s="25"/>
      <c r="F219" s="25"/>
      <c r="G219" s="25"/>
      <c r="I219" s="15" t="str">
        <f t="shared" si="3"/>
        <v/>
      </c>
    </row>
    <row r="220" spans="1:9" x14ac:dyDescent="0.3">
      <c r="A220" s="25"/>
      <c r="B220" s="25"/>
      <c r="C220" s="25"/>
      <c r="D220" s="26"/>
      <c r="E220" s="25"/>
      <c r="F220" s="25"/>
      <c r="G220" s="25"/>
      <c r="I220" s="15" t="str">
        <f t="shared" si="3"/>
        <v/>
      </c>
    </row>
    <row r="221" spans="1:9" x14ac:dyDescent="0.3">
      <c r="A221" s="25"/>
      <c r="B221" s="25"/>
      <c r="C221" s="25"/>
      <c r="D221" s="26"/>
      <c r="E221" s="25"/>
      <c r="F221" s="25"/>
      <c r="G221" s="25"/>
      <c r="I221" s="15" t="str">
        <f t="shared" si="3"/>
        <v/>
      </c>
    </row>
    <row r="222" spans="1:9" x14ac:dyDescent="0.3">
      <c r="A222" s="25"/>
      <c r="B222" s="25"/>
      <c r="C222" s="25"/>
      <c r="D222" s="26"/>
      <c r="E222" s="25"/>
      <c r="F222" s="25"/>
      <c r="G222" s="25"/>
      <c r="I222" s="15" t="str">
        <f t="shared" si="3"/>
        <v/>
      </c>
    </row>
    <row r="223" spans="1:9" x14ac:dyDescent="0.3">
      <c r="A223" s="25"/>
      <c r="B223" s="25"/>
      <c r="C223" s="25"/>
      <c r="D223" s="26"/>
      <c r="E223" s="25"/>
      <c r="F223" s="25"/>
      <c r="G223" s="25"/>
      <c r="I223" s="15" t="str">
        <f t="shared" si="3"/>
        <v/>
      </c>
    </row>
    <row r="224" spans="1:9" x14ac:dyDescent="0.3">
      <c r="A224" s="25"/>
      <c r="B224" s="25"/>
      <c r="C224" s="25"/>
      <c r="D224" s="26"/>
      <c r="E224" s="25"/>
      <c r="F224" s="25"/>
      <c r="G224" s="25"/>
      <c r="I224" s="15" t="str">
        <f t="shared" si="3"/>
        <v/>
      </c>
    </row>
    <row r="225" spans="1:9" x14ac:dyDescent="0.3">
      <c r="A225" s="25"/>
      <c r="B225" s="25"/>
      <c r="C225" s="25"/>
      <c r="D225" s="26"/>
      <c r="E225" s="25"/>
      <c r="F225" s="25"/>
      <c r="G225" s="25"/>
      <c r="I225" s="15" t="str">
        <f t="shared" si="3"/>
        <v/>
      </c>
    </row>
    <row r="226" spans="1:9" x14ac:dyDescent="0.3">
      <c r="A226" s="25"/>
      <c r="B226" s="25"/>
      <c r="C226" s="25"/>
      <c r="D226" s="26"/>
      <c r="E226" s="25"/>
      <c r="F226" s="25"/>
      <c r="G226" s="25"/>
      <c r="I226" s="15" t="str">
        <f t="shared" si="3"/>
        <v/>
      </c>
    </row>
    <row r="227" spans="1:9" x14ac:dyDescent="0.3">
      <c r="A227" s="25"/>
      <c r="B227" s="25"/>
      <c r="C227" s="25"/>
      <c r="D227" s="26"/>
      <c r="E227" s="25"/>
      <c r="F227" s="25"/>
      <c r="G227" s="25"/>
      <c r="I227" s="15" t="str">
        <f t="shared" si="3"/>
        <v/>
      </c>
    </row>
    <row r="228" spans="1:9" x14ac:dyDescent="0.3">
      <c r="A228" s="25"/>
      <c r="B228" s="25"/>
      <c r="C228" s="25"/>
      <c r="D228" s="26"/>
      <c r="E228" s="25"/>
      <c r="F228" s="25"/>
      <c r="G228" s="25"/>
      <c r="I228" s="15" t="str">
        <f t="shared" si="3"/>
        <v/>
      </c>
    </row>
    <row r="229" spans="1:9" x14ac:dyDescent="0.3">
      <c r="A229" s="25"/>
      <c r="B229" s="25"/>
      <c r="C229" s="25"/>
      <c r="D229" s="26"/>
      <c r="E229" s="25"/>
      <c r="F229" s="25"/>
      <c r="G229" s="25"/>
      <c r="I229" s="15" t="str">
        <f t="shared" si="3"/>
        <v/>
      </c>
    </row>
    <row r="230" spans="1:9" x14ac:dyDescent="0.3">
      <c r="A230" s="25"/>
      <c r="B230" s="25"/>
      <c r="C230" s="25"/>
      <c r="D230" s="26"/>
      <c r="E230" s="25"/>
      <c r="F230" s="25"/>
      <c r="G230" s="25"/>
      <c r="I230" s="15" t="str">
        <f t="shared" si="3"/>
        <v/>
      </c>
    </row>
    <row r="231" spans="1:9" x14ac:dyDescent="0.3">
      <c r="A231" s="25"/>
      <c r="B231" s="25"/>
      <c r="C231" s="25"/>
      <c r="D231" s="26"/>
      <c r="E231" s="25"/>
      <c r="F231" s="25"/>
      <c r="G231" s="25"/>
      <c r="I231" s="15" t="str">
        <f t="shared" si="3"/>
        <v/>
      </c>
    </row>
    <row r="232" spans="1:9" x14ac:dyDescent="0.3">
      <c r="A232" s="25"/>
      <c r="B232" s="25"/>
      <c r="C232" s="25"/>
      <c r="D232" s="26"/>
      <c r="E232" s="25"/>
      <c r="F232" s="25"/>
      <c r="G232" s="25"/>
      <c r="I232" s="15" t="str">
        <f t="shared" si="3"/>
        <v/>
      </c>
    </row>
    <row r="233" spans="1:9" x14ac:dyDescent="0.3">
      <c r="A233" s="25"/>
      <c r="B233" s="25"/>
      <c r="C233" s="25"/>
      <c r="D233" s="26"/>
      <c r="E233" s="25"/>
      <c r="F233" s="25"/>
      <c r="G233" s="25"/>
      <c r="I233" s="15" t="str">
        <f t="shared" si="3"/>
        <v/>
      </c>
    </row>
    <row r="234" spans="1:9" x14ac:dyDescent="0.3">
      <c r="A234" s="25"/>
      <c r="B234" s="25"/>
      <c r="C234" s="25"/>
      <c r="D234" s="26"/>
      <c r="E234" s="25"/>
      <c r="F234" s="25"/>
      <c r="G234" s="25"/>
      <c r="I234" s="15" t="str">
        <f t="shared" si="3"/>
        <v/>
      </c>
    </row>
    <row r="235" spans="1:9" x14ac:dyDescent="0.3">
      <c r="A235" s="25"/>
      <c r="B235" s="25"/>
      <c r="C235" s="25"/>
      <c r="D235" s="26"/>
      <c r="E235" s="25"/>
      <c r="F235" s="25"/>
      <c r="G235" s="25"/>
      <c r="I235" s="15" t="str">
        <f t="shared" si="3"/>
        <v/>
      </c>
    </row>
    <row r="236" spans="1:9" x14ac:dyDescent="0.3">
      <c r="A236" s="25"/>
      <c r="B236" s="25"/>
      <c r="C236" s="25"/>
      <c r="D236" s="26"/>
      <c r="E236" s="25"/>
      <c r="F236" s="25"/>
      <c r="G236" s="25"/>
      <c r="I236" s="15" t="str">
        <f t="shared" si="3"/>
        <v/>
      </c>
    </row>
    <row r="237" spans="1:9" x14ac:dyDescent="0.3">
      <c r="A237" s="25"/>
      <c r="B237" s="25"/>
      <c r="C237" s="25"/>
      <c r="D237" s="26"/>
      <c r="E237" s="25"/>
      <c r="F237" s="25"/>
      <c r="G237" s="25"/>
      <c r="I237" s="15" t="str">
        <f t="shared" si="3"/>
        <v/>
      </c>
    </row>
    <row r="238" spans="1:9" x14ac:dyDescent="0.3">
      <c r="A238" s="25"/>
      <c r="B238" s="25"/>
      <c r="C238" s="25"/>
      <c r="D238" s="26"/>
      <c r="E238" s="25"/>
      <c r="F238" s="25"/>
      <c r="G238" s="25"/>
      <c r="I238" s="15" t="str">
        <f t="shared" si="3"/>
        <v/>
      </c>
    </row>
    <row r="239" spans="1:9" x14ac:dyDescent="0.3">
      <c r="A239" s="25"/>
      <c r="B239" s="25"/>
      <c r="C239" s="25"/>
      <c r="D239" s="26"/>
      <c r="E239" s="25"/>
      <c r="F239" s="25"/>
      <c r="G239" s="25"/>
      <c r="I239" s="15" t="str">
        <f t="shared" si="3"/>
        <v/>
      </c>
    </row>
    <row r="240" spans="1:9" x14ac:dyDescent="0.3">
      <c r="A240" s="25"/>
      <c r="B240" s="25"/>
      <c r="C240" s="25"/>
      <c r="D240" s="26"/>
      <c r="E240" s="25"/>
      <c r="F240" s="25"/>
      <c r="G240" s="25"/>
      <c r="I240" s="15" t="str">
        <f t="shared" si="3"/>
        <v/>
      </c>
    </row>
    <row r="241" spans="1:9" x14ac:dyDescent="0.3">
      <c r="A241" s="25"/>
      <c r="B241" s="25"/>
      <c r="C241" s="25"/>
      <c r="D241" s="26"/>
      <c r="E241" s="25"/>
      <c r="F241" s="25"/>
      <c r="G241" s="25"/>
      <c r="I241" s="15" t="str">
        <f t="shared" si="3"/>
        <v/>
      </c>
    </row>
    <row r="242" spans="1:9" x14ac:dyDescent="0.3">
      <c r="A242" s="25"/>
      <c r="B242" s="25"/>
      <c r="C242" s="25"/>
      <c r="D242" s="26"/>
      <c r="E242" s="25"/>
      <c r="F242" s="25"/>
      <c r="G242" s="25"/>
      <c r="I242" s="15" t="str">
        <f t="shared" si="3"/>
        <v/>
      </c>
    </row>
    <row r="243" spans="1:9" x14ac:dyDescent="0.3">
      <c r="A243" s="25"/>
      <c r="B243" s="25"/>
      <c r="C243" s="25"/>
      <c r="D243" s="26"/>
      <c r="E243" s="25"/>
      <c r="F243" s="25"/>
      <c r="G243" s="25"/>
      <c r="I243" s="15" t="str">
        <f t="shared" si="3"/>
        <v/>
      </c>
    </row>
    <row r="244" spans="1:9" x14ac:dyDescent="0.3">
      <c r="A244" s="25"/>
      <c r="B244" s="25"/>
      <c r="C244" s="25"/>
      <c r="D244" s="26"/>
      <c r="E244" s="25"/>
      <c r="F244" s="25"/>
      <c r="G244" s="25"/>
      <c r="I244" s="15" t="str">
        <f t="shared" si="3"/>
        <v/>
      </c>
    </row>
    <row r="245" spans="1:9" x14ac:dyDescent="0.3">
      <c r="A245" s="25"/>
      <c r="B245" s="25"/>
      <c r="C245" s="25"/>
      <c r="D245" s="26"/>
      <c r="E245" s="25"/>
      <c r="F245" s="25"/>
      <c r="G245" s="25"/>
      <c r="I245" s="15" t="str">
        <f t="shared" si="3"/>
        <v/>
      </c>
    </row>
    <row r="246" spans="1:9" x14ac:dyDescent="0.3">
      <c r="A246" s="25"/>
      <c r="B246" s="25"/>
      <c r="C246" s="25"/>
      <c r="D246" s="26"/>
      <c r="E246" s="25"/>
      <c r="F246" s="25"/>
      <c r="G246" s="25"/>
      <c r="I246" s="15" t="str">
        <f t="shared" si="3"/>
        <v/>
      </c>
    </row>
    <row r="247" spans="1:9" x14ac:dyDescent="0.3">
      <c r="A247" s="25"/>
      <c r="B247" s="25"/>
      <c r="C247" s="25"/>
      <c r="D247" s="26"/>
      <c r="E247" s="25"/>
      <c r="F247" s="25"/>
      <c r="G247" s="25"/>
      <c r="I247" s="15" t="str">
        <f t="shared" si="3"/>
        <v/>
      </c>
    </row>
    <row r="248" spans="1:9" x14ac:dyDescent="0.3">
      <c r="A248" s="25"/>
      <c r="B248" s="25"/>
      <c r="C248" s="25"/>
      <c r="D248" s="26"/>
      <c r="E248" s="25"/>
      <c r="F248" s="25"/>
      <c r="G248" s="25"/>
      <c r="I248" s="15" t="str">
        <f t="shared" si="3"/>
        <v/>
      </c>
    </row>
    <row r="249" spans="1:9" x14ac:dyDescent="0.3">
      <c r="A249" s="25"/>
      <c r="B249" s="25"/>
      <c r="C249" s="25"/>
      <c r="D249" s="26"/>
      <c r="E249" s="25"/>
      <c r="F249" s="25"/>
      <c r="G249" s="25"/>
      <c r="I249" s="15" t="str">
        <f t="shared" si="3"/>
        <v/>
      </c>
    </row>
    <row r="250" spans="1:9" x14ac:dyDescent="0.3">
      <c r="A250" s="25"/>
      <c r="B250" s="25"/>
      <c r="C250" s="25"/>
      <c r="D250" s="26"/>
      <c r="E250" s="25"/>
      <c r="F250" s="25"/>
      <c r="G250" s="25"/>
      <c r="I250" s="15" t="str">
        <f t="shared" si="3"/>
        <v/>
      </c>
    </row>
    <row r="251" spans="1:9" x14ac:dyDescent="0.3">
      <c r="A251" s="25"/>
      <c r="B251" s="25"/>
      <c r="C251" s="25"/>
      <c r="D251" s="26"/>
      <c r="E251" s="25"/>
      <c r="F251" s="25"/>
      <c r="G251" s="25"/>
      <c r="I251" s="15" t="str">
        <f t="shared" si="3"/>
        <v/>
      </c>
    </row>
    <row r="252" spans="1:9" x14ac:dyDescent="0.3">
      <c r="A252" s="25"/>
      <c r="B252" s="25"/>
      <c r="C252" s="25"/>
      <c r="D252" s="26"/>
      <c r="E252" s="25"/>
      <c r="F252" s="25"/>
      <c r="G252" s="25"/>
      <c r="I252" s="15" t="str">
        <f t="shared" si="3"/>
        <v/>
      </c>
    </row>
    <row r="253" spans="1:9" x14ac:dyDescent="0.3">
      <c r="A253" s="25"/>
      <c r="B253" s="25"/>
      <c r="C253" s="25"/>
      <c r="D253" s="26"/>
      <c r="E253" s="25"/>
      <c r="F253" s="25"/>
      <c r="G253" s="25"/>
      <c r="I253" s="15" t="str">
        <f t="shared" si="3"/>
        <v/>
      </c>
    </row>
    <row r="254" spans="1:9" x14ac:dyDescent="0.3">
      <c r="A254" s="25"/>
      <c r="B254" s="25"/>
      <c r="C254" s="25"/>
      <c r="D254" s="26"/>
      <c r="E254" s="25"/>
      <c r="F254" s="25"/>
      <c r="G254" s="25"/>
      <c r="I254" s="15" t="str">
        <f t="shared" si="3"/>
        <v/>
      </c>
    </row>
    <row r="255" spans="1:9" x14ac:dyDescent="0.3">
      <c r="A255" s="25"/>
      <c r="B255" s="25"/>
      <c r="C255" s="25"/>
      <c r="D255" s="26"/>
      <c r="E255" s="25"/>
      <c r="F255" s="25"/>
      <c r="G255" s="25"/>
      <c r="I255" s="15" t="str">
        <f t="shared" si="3"/>
        <v/>
      </c>
    </row>
    <row r="256" spans="1:9" x14ac:dyDescent="0.3">
      <c r="A256" s="25"/>
      <c r="B256" s="25"/>
      <c r="C256" s="25"/>
      <c r="D256" s="26"/>
      <c r="E256" s="25"/>
      <c r="F256" s="25"/>
      <c r="G256" s="25"/>
      <c r="I256" s="15" t="str">
        <f t="shared" si="3"/>
        <v/>
      </c>
    </row>
    <row r="257" spans="1:9" x14ac:dyDescent="0.3">
      <c r="A257" s="25"/>
      <c r="B257" s="25"/>
      <c r="C257" s="25"/>
      <c r="D257" s="26"/>
      <c r="E257" s="25"/>
      <c r="F257" s="25"/>
      <c r="G257" s="25"/>
      <c r="I257" s="15" t="str">
        <f t="shared" si="3"/>
        <v/>
      </c>
    </row>
    <row r="258" spans="1:9" x14ac:dyDescent="0.3">
      <c r="A258" s="25"/>
      <c r="B258" s="25"/>
      <c r="C258" s="25"/>
      <c r="D258" s="26"/>
      <c r="E258" s="25"/>
      <c r="F258" s="25"/>
      <c r="G258" s="25"/>
      <c r="I258" s="15" t="str">
        <f t="shared" si="3"/>
        <v/>
      </c>
    </row>
    <row r="259" spans="1:9" x14ac:dyDescent="0.3">
      <c r="A259" s="25"/>
      <c r="B259" s="25"/>
      <c r="C259" s="25"/>
      <c r="D259" s="26"/>
      <c r="E259" s="25"/>
      <c r="F259" s="25"/>
      <c r="G259" s="25"/>
      <c r="I259" s="15" t="str">
        <f t="shared" si="3"/>
        <v/>
      </c>
    </row>
    <row r="260" spans="1:9" x14ac:dyDescent="0.3">
      <c r="A260" s="25"/>
      <c r="B260" s="25"/>
      <c r="C260" s="25"/>
      <c r="D260" s="26"/>
      <c r="E260" s="25"/>
      <c r="F260" s="25"/>
      <c r="G260" s="25"/>
      <c r="I260" s="15" t="str">
        <f t="shared" ref="I260:I323" si="4">IF($A260="","",IF(COUNTIF(DAFTAR_NAMA,$A260)=0,"⚠️ NAMA TIDAK TERDAFTAR","OK"))</f>
        <v/>
      </c>
    </row>
    <row r="261" spans="1:9" x14ac:dyDescent="0.3">
      <c r="A261" s="25"/>
      <c r="B261" s="25"/>
      <c r="C261" s="25"/>
      <c r="D261" s="26"/>
      <c r="E261" s="25"/>
      <c r="F261" s="25"/>
      <c r="G261" s="25"/>
      <c r="I261" s="15" t="str">
        <f t="shared" si="4"/>
        <v/>
      </c>
    </row>
    <row r="262" spans="1:9" x14ac:dyDescent="0.3">
      <c r="A262" s="25"/>
      <c r="B262" s="25"/>
      <c r="C262" s="25"/>
      <c r="D262" s="26"/>
      <c r="E262" s="25"/>
      <c r="F262" s="25"/>
      <c r="G262" s="25"/>
      <c r="I262" s="15" t="str">
        <f t="shared" si="4"/>
        <v/>
      </c>
    </row>
    <row r="263" spans="1:9" x14ac:dyDescent="0.3">
      <c r="A263" s="25"/>
      <c r="B263" s="25"/>
      <c r="C263" s="25"/>
      <c r="D263" s="26"/>
      <c r="E263" s="25"/>
      <c r="F263" s="25"/>
      <c r="G263" s="25"/>
      <c r="I263" s="15" t="str">
        <f t="shared" si="4"/>
        <v/>
      </c>
    </row>
    <row r="264" spans="1:9" x14ac:dyDescent="0.3">
      <c r="A264" s="25"/>
      <c r="B264" s="25"/>
      <c r="C264" s="25"/>
      <c r="D264" s="26"/>
      <c r="E264" s="25"/>
      <c r="F264" s="25"/>
      <c r="G264" s="25"/>
      <c r="I264" s="15" t="str">
        <f t="shared" si="4"/>
        <v/>
      </c>
    </row>
    <row r="265" spans="1:9" x14ac:dyDescent="0.3">
      <c r="A265" s="25"/>
      <c r="B265" s="25"/>
      <c r="C265" s="25"/>
      <c r="D265" s="26"/>
      <c r="E265" s="25"/>
      <c r="F265" s="25"/>
      <c r="G265" s="25"/>
      <c r="I265" s="15" t="str">
        <f t="shared" si="4"/>
        <v/>
      </c>
    </row>
    <row r="266" spans="1:9" x14ac:dyDescent="0.3">
      <c r="A266" s="25"/>
      <c r="B266" s="25"/>
      <c r="C266" s="25"/>
      <c r="D266" s="26"/>
      <c r="E266" s="25"/>
      <c r="F266" s="25"/>
      <c r="G266" s="25"/>
      <c r="I266" s="15" t="str">
        <f t="shared" si="4"/>
        <v/>
      </c>
    </row>
    <row r="267" spans="1:9" x14ac:dyDescent="0.3">
      <c r="A267" s="25"/>
      <c r="B267" s="25"/>
      <c r="C267" s="25"/>
      <c r="D267" s="26"/>
      <c r="E267" s="25"/>
      <c r="F267" s="25"/>
      <c r="G267" s="25"/>
      <c r="I267" s="15" t="str">
        <f t="shared" si="4"/>
        <v/>
      </c>
    </row>
    <row r="268" spans="1:9" x14ac:dyDescent="0.3">
      <c r="A268" s="25"/>
      <c r="B268" s="25"/>
      <c r="C268" s="25"/>
      <c r="D268" s="26"/>
      <c r="E268" s="25"/>
      <c r="F268" s="25"/>
      <c r="G268" s="25"/>
      <c r="I268" s="15" t="str">
        <f t="shared" si="4"/>
        <v/>
      </c>
    </row>
    <row r="269" spans="1:9" x14ac:dyDescent="0.3">
      <c r="A269" s="25"/>
      <c r="B269" s="25"/>
      <c r="C269" s="25"/>
      <c r="D269" s="26"/>
      <c r="E269" s="25"/>
      <c r="F269" s="25"/>
      <c r="G269" s="25"/>
      <c r="I269" s="15" t="str">
        <f t="shared" si="4"/>
        <v/>
      </c>
    </row>
    <row r="270" spans="1:9" x14ac:dyDescent="0.3">
      <c r="A270" s="25"/>
      <c r="B270" s="25"/>
      <c r="C270" s="25"/>
      <c r="D270" s="26"/>
      <c r="E270" s="25"/>
      <c r="F270" s="25"/>
      <c r="G270" s="25"/>
      <c r="I270" s="15" t="str">
        <f t="shared" si="4"/>
        <v/>
      </c>
    </row>
    <row r="271" spans="1:9" x14ac:dyDescent="0.3">
      <c r="A271" s="25"/>
      <c r="B271" s="25"/>
      <c r="C271" s="25"/>
      <c r="D271" s="26"/>
      <c r="E271" s="25"/>
      <c r="F271" s="25"/>
      <c r="G271" s="25"/>
      <c r="I271" s="15" t="str">
        <f t="shared" si="4"/>
        <v/>
      </c>
    </row>
    <row r="272" spans="1:9" x14ac:dyDescent="0.3">
      <c r="A272" s="25"/>
      <c r="B272" s="25"/>
      <c r="C272" s="25"/>
      <c r="D272" s="26"/>
      <c r="E272" s="25"/>
      <c r="F272" s="25"/>
      <c r="G272" s="25"/>
      <c r="I272" s="15" t="str">
        <f t="shared" si="4"/>
        <v/>
      </c>
    </row>
    <row r="273" spans="1:9" x14ac:dyDescent="0.3">
      <c r="A273" s="25"/>
      <c r="B273" s="25"/>
      <c r="C273" s="25"/>
      <c r="D273" s="26"/>
      <c r="E273" s="25"/>
      <c r="F273" s="25"/>
      <c r="G273" s="25"/>
      <c r="I273" s="15" t="str">
        <f t="shared" si="4"/>
        <v/>
      </c>
    </row>
    <row r="274" spans="1:9" x14ac:dyDescent="0.3">
      <c r="A274" s="25"/>
      <c r="B274" s="25"/>
      <c r="C274" s="25"/>
      <c r="D274" s="26"/>
      <c r="E274" s="25"/>
      <c r="F274" s="25"/>
      <c r="G274" s="25"/>
      <c r="I274" s="15" t="str">
        <f t="shared" si="4"/>
        <v/>
      </c>
    </row>
    <row r="275" spans="1:9" x14ac:dyDescent="0.3">
      <c r="A275" s="25"/>
      <c r="B275" s="25"/>
      <c r="C275" s="25"/>
      <c r="D275" s="26"/>
      <c r="E275" s="25"/>
      <c r="F275" s="25"/>
      <c r="G275" s="25"/>
      <c r="I275" s="15" t="str">
        <f t="shared" si="4"/>
        <v/>
      </c>
    </row>
    <row r="276" spans="1:9" x14ac:dyDescent="0.3">
      <c r="A276" s="25"/>
      <c r="B276" s="25"/>
      <c r="C276" s="25"/>
      <c r="D276" s="26"/>
      <c r="E276" s="25"/>
      <c r="F276" s="25"/>
      <c r="G276" s="25"/>
      <c r="I276" s="15" t="str">
        <f t="shared" si="4"/>
        <v/>
      </c>
    </row>
    <row r="277" spans="1:9" x14ac:dyDescent="0.3">
      <c r="A277" s="25"/>
      <c r="B277" s="25"/>
      <c r="C277" s="25"/>
      <c r="D277" s="26"/>
      <c r="E277" s="25"/>
      <c r="F277" s="25"/>
      <c r="G277" s="25"/>
      <c r="I277" s="15" t="str">
        <f t="shared" si="4"/>
        <v/>
      </c>
    </row>
    <row r="278" spans="1:9" x14ac:dyDescent="0.3">
      <c r="A278" s="25"/>
      <c r="B278" s="25"/>
      <c r="C278" s="25"/>
      <c r="D278" s="26"/>
      <c r="E278" s="25"/>
      <c r="F278" s="25"/>
      <c r="G278" s="25"/>
      <c r="I278" s="15" t="str">
        <f t="shared" si="4"/>
        <v/>
      </c>
    </row>
    <row r="279" spans="1:9" x14ac:dyDescent="0.3">
      <c r="A279" s="25"/>
      <c r="B279" s="25"/>
      <c r="C279" s="25"/>
      <c r="D279" s="26"/>
      <c r="E279" s="25"/>
      <c r="F279" s="25"/>
      <c r="G279" s="25"/>
      <c r="I279" s="15" t="str">
        <f t="shared" si="4"/>
        <v/>
      </c>
    </row>
    <row r="280" spans="1:9" x14ac:dyDescent="0.3">
      <c r="A280" s="25"/>
      <c r="B280" s="25"/>
      <c r="C280" s="25"/>
      <c r="D280" s="26"/>
      <c r="E280" s="25"/>
      <c r="F280" s="25"/>
      <c r="G280" s="25"/>
      <c r="I280" s="15" t="str">
        <f t="shared" si="4"/>
        <v/>
      </c>
    </row>
    <row r="281" spans="1:9" x14ac:dyDescent="0.3">
      <c r="A281" s="25"/>
      <c r="B281" s="25"/>
      <c r="C281" s="25"/>
      <c r="D281" s="26"/>
      <c r="E281" s="25"/>
      <c r="F281" s="25"/>
      <c r="G281" s="25"/>
      <c r="I281" s="15" t="str">
        <f t="shared" si="4"/>
        <v/>
      </c>
    </row>
    <row r="282" spans="1:9" x14ac:dyDescent="0.3">
      <c r="A282" s="25"/>
      <c r="B282" s="25"/>
      <c r="C282" s="25"/>
      <c r="D282" s="26"/>
      <c r="E282" s="25"/>
      <c r="F282" s="25"/>
      <c r="G282" s="25"/>
      <c r="I282" s="15" t="str">
        <f t="shared" si="4"/>
        <v/>
      </c>
    </row>
    <row r="283" spans="1:9" x14ac:dyDescent="0.3">
      <c r="A283" s="25"/>
      <c r="B283" s="25"/>
      <c r="C283" s="25"/>
      <c r="D283" s="26"/>
      <c r="E283" s="25"/>
      <c r="F283" s="25"/>
      <c r="G283" s="25"/>
      <c r="I283" s="15" t="str">
        <f t="shared" si="4"/>
        <v/>
      </c>
    </row>
    <row r="284" spans="1:9" x14ac:dyDescent="0.3">
      <c r="A284" s="25"/>
      <c r="B284" s="25"/>
      <c r="C284" s="25"/>
      <c r="D284" s="26"/>
      <c r="E284" s="25"/>
      <c r="F284" s="25"/>
      <c r="G284" s="25"/>
      <c r="I284" s="15" t="str">
        <f t="shared" si="4"/>
        <v/>
      </c>
    </row>
    <row r="285" spans="1:9" x14ac:dyDescent="0.3">
      <c r="A285" s="25"/>
      <c r="B285" s="25"/>
      <c r="C285" s="25"/>
      <c r="D285" s="26"/>
      <c r="E285" s="25"/>
      <c r="F285" s="25"/>
      <c r="G285" s="25"/>
      <c r="I285" s="15" t="str">
        <f t="shared" si="4"/>
        <v/>
      </c>
    </row>
    <row r="286" spans="1:9" x14ac:dyDescent="0.3">
      <c r="A286" s="25"/>
      <c r="B286" s="25"/>
      <c r="C286" s="25"/>
      <c r="D286" s="26"/>
      <c r="E286" s="25"/>
      <c r="F286" s="25"/>
      <c r="G286" s="25"/>
      <c r="I286" s="15" t="str">
        <f t="shared" si="4"/>
        <v/>
      </c>
    </row>
    <row r="287" spans="1:9" x14ac:dyDescent="0.3">
      <c r="A287" s="25"/>
      <c r="B287" s="25"/>
      <c r="C287" s="25"/>
      <c r="D287" s="26"/>
      <c r="E287" s="25"/>
      <c r="F287" s="25"/>
      <c r="G287" s="25"/>
      <c r="I287" s="15" t="str">
        <f t="shared" si="4"/>
        <v/>
      </c>
    </row>
    <row r="288" spans="1:9" x14ac:dyDescent="0.3">
      <c r="A288" s="25"/>
      <c r="B288" s="25"/>
      <c r="C288" s="25"/>
      <c r="D288" s="26"/>
      <c r="E288" s="25"/>
      <c r="F288" s="25"/>
      <c r="G288" s="25"/>
      <c r="I288" s="15" t="str">
        <f t="shared" si="4"/>
        <v/>
      </c>
    </row>
    <row r="289" spans="1:9" x14ac:dyDescent="0.3">
      <c r="A289" s="25"/>
      <c r="B289" s="25"/>
      <c r="C289" s="25"/>
      <c r="D289" s="26"/>
      <c r="E289" s="25"/>
      <c r="F289" s="25"/>
      <c r="G289" s="25"/>
      <c r="I289" s="15" t="str">
        <f t="shared" si="4"/>
        <v/>
      </c>
    </row>
    <row r="290" spans="1:9" x14ac:dyDescent="0.3">
      <c r="A290" s="25"/>
      <c r="B290" s="25"/>
      <c r="C290" s="25"/>
      <c r="D290" s="26"/>
      <c r="E290" s="25"/>
      <c r="F290" s="25"/>
      <c r="G290" s="25"/>
      <c r="I290" s="15" t="str">
        <f t="shared" si="4"/>
        <v/>
      </c>
    </row>
    <row r="291" spans="1:9" x14ac:dyDescent="0.3">
      <c r="A291" s="25"/>
      <c r="B291" s="25"/>
      <c r="C291" s="25"/>
      <c r="D291" s="26"/>
      <c r="E291" s="25"/>
      <c r="F291" s="25"/>
      <c r="G291" s="25"/>
      <c r="I291" s="15" t="str">
        <f t="shared" si="4"/>
        <v/>
      </c>
    </row>
    <row r="292" spans="1:9" x14ac:dyDescent="0.3">
      <c r="A292" s="25"/>
      <c r="B292" s="25"/>
      <c r="C292" s="25"/>
      <c r="D292" s="26"/>
      <c r="E292" s="25"/>
      <c r="F292" s="25"/>
      <c r="G292" s="25"/>
      <c r="I292" s="15" t="str">
        <f t="shared" si="4"/>
        <v/>
      </c>
    </row>
    <row r="293" spans="1:9" x14ac:dyDescent="0.3">
      <c r="A293" s="25"/>
      <c r="B293" s="25"/>
      <c r="C293" s="25"/>
      <c r="D293" s="26"/>
      <c r="E293" s="25"/>
      <c r="F293" s="25"/>
      <c r="G293" s="25"/>
      <c r="I293" s="15" t="str">
        <f t="shared" si="4"/>
        <v/>
      </c>
    </row>
    <row r="294" spans="1:9" x14ac:dyDescent="0.3">
      <c r="A294" s="25"/>
      <c r="B294" s="25"/>
      <c r="C294" s="25"/>
      <c r="D294" s="26"/>
      <c r="E294" s="25"/>
      <c r="F294" s="25"/>
      <c r="G294" s="25"/>
      <c r="I294" s="15" t="str">
        <f t="shared" si="4"/>
        <v/>
      </c>
    </row>
    <row r="295" spans="1:9" x14ac:dyDescent="0.3">
      <c r="A295" s="25"/>
      <c r="B295" s="25"/>
      <c r="C295" s="25"/>
      <c r="D295" s="26"/>
      <c r="E295" s="25"/>
      <c r="F295" s="25"/>
      <c r="G295" s="25"/>
      <c r="I295" s="15" t="str">
        <f t="shared" si="4"/>
        <v/>
      </c>
    </row>
    <row r="296" spans="1:9" x14ac:dyDescent="0.3">
      <c r="A296" s="25"/>
      <c r="B296" s="25"/>
      <c r="C296" s="25"/>
      <c r="D296" s="26"/>
      <c r="E296" s="25"/>
      <c r="F296" s="25"/>
      <c r="G296" s="25"/>
      <c r="I296" s="15" t="str">
        <f t="shared" si="4"/>
        <v/>
      </c>
    </row>
    <row r="297" spans="1:9" x14ac:dyDescent="0.3">
      <c r="A297" s="25"/>
      <c r="B297" s="25"/>
      <c r="C297" s="25"/>
      <c r="D297" s="26"/>
      <c r="E297" s="25"/>
      <c r="F297" s="25"/>
      <c r="G297" s="25"/>
      <c r="I297" s="15" t="str">
        <f t="shared" si="4"/>
        <v/>
      </c>
    </row>
    <row r="298" spans="1:9" x14ac:dyDescent="0.3">
      <c r="A298" s="25"/>
      <c r="B298" s="25"/>
      <c r="C298" s="25"/>
      <c r="D298" s="26"/>
      <c r="E298" s="25"/>
      <c r="F298" s="25"/>
      <c r="G298" s="25"/>
      <c r="I298" s="15" t="str">
        <f t="shared" si="4"/>
        <v/>
      </c>
    </row>
    <row r="299" spans="1:9" x14ac:dyDescent="0.3">
      <c r="A299" s="25"/>
      <c r="B299" s="25"/>
      <c r="C299" s="25"/>
      <c r="D299" s="26"/>
      <c r="E299" s="25"/>
      <c r="F299" s="25"/>
      <c r="G299" s="25"/>
      <c r="I299" s="15" t="str">
        <f t="shared" si="4"/>
        <v/>
      </c>
    </row>
    <row r="300" spans="1:9" x14ac:dyDescent="0.3">
      <c r="A300" s="25"/>
      <c r="B300" s="25"/>
      <c r="C300" s="25"/>
      <c r="D300" s="26"/>
      <c r="E300" s="25"/>
      <c r="F300" s="25"/>
      <c r="G300" s="25"/>
      <c r="I300" s="15" t="str">
        <f t="shared" si="4"/>
        <v/>
      </c>
    </row>
    <row r="301" spans="1:9" x14ac:dyDescent="0.3">
      <c r="A301" s="25"/>
      <c r="B301" s="25"/>
      <c r="C301" s="25"/>
      <c r="D301" s="26"/>
      <c r="E301" s="25"/>
      <c r="F301" s="25"/>
      <c r="G301" s="25"/>
      <c r="I301" s="15" t="str">
        <f t="shared" si="4"/>
        <v/>
      </c>
    </row>
    <row r="302" spans="1:9" x14ac:dyDescent="0.3">
      <c r="A302" s="25"/>
      <c r="B302" s="25"/>
      <c r="C302" s="25"/>
      <c r="D302" s="26"/>
      <c r="E302" s="25"/>
      <c r="F302" s="25"/>
      <c r="G302" s="25"/>
      <c r="I302" s="15" t="str">
        <f t="shared" si="4"/>
        <v/>
      </c>
    </row>
    <row r="303" spans="1:9" x14ac:dyDescent="0.3">
      <c r="A303" s="25"/>
      <c r="B303" s="25"/>
      <c r="C303" s="25"/>
      <c r="D303" s="26"/>
      <c r="E303" s="25"/>
      <c r="F303" s="25"/>
      <c r="G303" s="25"/>
      <c r="I303" s="15" t="str">
        <f t="shared" si="4"/>
        <v/>
      </c>
    </row>
    <row r="304" spans="1:9" x14ac:dyDescent="0.3">
      <c r="A304" s="25"/>
      <c r="B304" s="25"/>
      <c r="C304" s="25"/>
      <c r="D304" s="26"/>
      <c r="E304" s="25"/>
      <c r="F304" s="25"/>
      <c r="G304" s="25"/>
      <c r="I304" s="15" t="str">
        <f t="shared" si="4"/>
        <v/>
      </c>
    </row>
    <row r="305" spans="1:9" x14ac:dyDescent="0.3">
      <c r="A305" s="25"/>
      <c r="B305" s="25"/>
      <c r="C305" s="25"/>
      <c r="D305" s="26"/>
      <c r="E305" s="25"/>
      <c r="F305" s="25"/>
      <c r="G305" s="25"/>
      <c r="I305" s="15" t="str">
        <f t="shared" si="4"/>
        <v/>
      </c>
    </row>
    <row r="306" spans="1:9" x14ac:dyDescent="0.3">
      <c r="A306" s="25"/>
      <c r="B306" s="25"/>
      <c r="C306" s="25"/>
      <c r="D306" s="26"/>
      <c r="E306" s="25"/>
      <c r="F306" s="25"/>
      <c r="G306" s="25"/>
      <c r="I306" s="15" t="str">
        <f t="shared" si="4"/>
        <v/>
      </c>
    </row>
    <row r="307" spans="1:9" x14ac:dyDescent="0.3">
      <c r="A307" s="25"/>
      <c r="B307" s="25"/>
      <c r="C307" s="25"/>
      <c r="D307" s="26"/>
      <c r="E307" s="25"/>
      <c r="F307" s="25"/>
      <c r="G307" s="25"/>
      <c r="I307" s="15" t="str">
        <f t="shared" si="4"/>
        <v/>
      </c>
    </row>
    <row r="308" spans="1:9" x14ac:dyDescent="0.3">
      <c r="A308" s="25"/>
      <c r="B308" s="25"/>
      <c r="C308" s="25"/>
      <c r="D308" s="26"/>
      <c r="E308" s="25"/>
      <c r="F308" s="25"/>
      <c r="G308" s="25"/>
      <c r="I308" s="15" t="str">
        <f t="shared" si="4"/>
        <v/>
      </c>
    </row>
    <row r="309" spans="1:9" x14ac:dyDescent="0.3">
      <c r="A309" s="25"/>
      <c r="B309" s="25"/>
      <c r="C309" s="25"/>
      <c r="D309" s="26"/>
      <c r="E309" s="25"/>
      <c r="F309" s="25"/>
      <c r="G309" s="25"/>
      <c r="I309" s="15" t="str">
        <f t="shared" si="4"/>
        <v/>
      </c>
    </row>
    <row r="310" spans="1:9" x14ac:dyDescent="0.3">
      <c r="A310" s="25"/>
      <c r="B310" s="25"/>
      <c r="C310" s="25"/>
      <c r="D310" s="26"/>
      <c r="E310" s="25"/>
      <c r="F310" s="25"/>
      <c r="G310" s="25"/>
      <c r="I310" s="15" t="str">
        <f t="shared" si="4"/>
        <v/>
      </c>
    </row>
    <row r="311" spans="1:9" x14ac:dyDescent="0.3">
      <c r="A311" s="25"/>
      <c r="B311" s="25"/>
      <c r="C311" s="25"/>
      <c r="D311" s="26"/>
      <c r="E311" s="25"/>
      <c r="F311" s="25"/>
      <c r="G311" s="25"/>
      <c r="I311" s="15" t="str">
        <f t="shared" si="4"/>
        <v/>
      </c>
    </row>
    <row r="312" spans="1:9" x14ac:dyDescent="0.3">
      <c r="A312" s="25"/>
      <c r="B312" s="25"/>
      <c r="C312" s="25"/>
      <c r="D312" s="26"/>
      <c r="E312" s="25"/>
      <c r="F312" s="25"/>
      <c r="G312" s="25"/>
      <c r="I312" s="15" t="str">
        <f t="shared" si="4"/>
        <v/>
      </c>
    </row>
    <row r="313" spans="1:9" x14ac:dyDescent="0.3">
      <c r="A313" s="25"/>
      <c r="B313" s="25"/>
      <c r="C313" s="25"/>
      <c r="D313" s="26"/>
      <c r="E313" s="25"/>
      <c r="F313" s="25"/>
      <c r="G313" s="25"/>
      <c r="I313" s="15" t="str">
        <f t="shared" si="4"/>
        <v/>
      </c>
    </row>
    <row r="314" spans="1:9" x14ac:dyDescent="0.3">
      <c r="A314" s="25"/>
      <c r="B314" s="25"/>
      <c r="C314" s="25"/>
      <c r="D314" s="26"/>
      <c r="E314" s="25"/>
      <c r="F314" s="25"/>
      <c r="G314" s="25"/>
      <c r="I314" s="15" t="str">
        <f t="shared" si="4"/>
        <v/>
      </c>
    </row>
    <row r="315" spans="1:9" x14ac:dyDescent="0.3">
      <c r="A315" s="25"/>
      <c r="B315" s="25"/>
      <c r="C315" s="25"/>
      <c r="D315" s="26"/>
      <c r="E315" s="25"/>
      <c r="F315" s="25"/>
      <c r="G315" s="25"/>
      <c r="I315" s="15" t="str">
        <f t="shared" si="4"/>
        <v/>
      </c>
    </row>
    <row r="316" spans="1:9" x14ac:dyDescent="0.3">
      <c r="A316" s="25"/>
      <c r="B316" s="25"/>
      <c r="C316" s="25"/>
      <c r="D316" s="26"/>
      <c r="E316" s="25"/>
      <c r="F316" s="25"/>
      <c r="G316" s="25"/>
      <c r="I316" s="15" t="str">
        <f t="shared" si="4"/>
        <v/>
      </c>
    </row>
    <row r="317" spans="1:9" x14ac:dyDescent="0.3">
      <c r="A317" s="25"/>
      <c r="B317" s="25"/>
      <c r="C317" s="25"/>
      <c r="D317" s="26"/>
      <c r="E317" s="25"/>
      <c r="F317" s="25"/>
      <c r="G317" s="25"/>
      <c r="I317" s="15" t="str">
        <f t="shared" si="4"/>
        <v/>
      </c>
    </row>
    <row r="318" spans="1:9" x14ac:dyDescent="0.3">
      <c r="A318" s="25"/>
      <c r="B318" s="25"/>
      <c r="C318" s="25"/>
      <c r="D318" s="26"/>
      <c r="E318" s="25"/>
      <c r="F318" s="25"/>
      <c r="G318" s="25"/>
      <c r="I318" s="15" t="str">
        <f t="shared" si="4"/>
        <v/>
      </c>
    </row>
    <row r="319" spans="1:9" x14ac:dyDescent="0.3">
      <c r="A319" s="25"/>
      <c r="B319" s="25"/>
      <c r="C319" s="25"/>
      <c r="D319" s="26"/>
      <c r="E319" s="25"/>
      <c r="F319" s="25"/>
      <c r="G319" s="25"/>
      <c r="I319" s="15" t="str">
        <f t="shared" si="4"/>
        <v/>
      </c>
    </row>
    <row r="320" spans="1:9" x14ac:dyDescent="0.3">
      <c r="A320" s="25"/>
      <c r="B320" s="25"/>
      <c r="C320" s="25"/>
      <c r="D320" s="26"/>
      <c r="E320" s="25"/>
      <c r="F320" s="25"/>
      <c r="G320" s="25"/>
      <c r="I320" s="15" t="str">
        <f t="shared" si="4"/>
        <v/>
      </c>
    </row>
    <row r="321" spans="1:9" x14ac:dyDescent="0.3">
      <c r="A321" s="25"/>
      <c r="B321" s="25"/>
      <c r="C321" s="25"/>
      <c r="D321" s="26"/>
      <c r="E321" s="25"/>
      <c r="F321" s="25"/>
      <c r="G321" s="25"/>
      <c r="I321" s="15" t="str">
        <f t="shared" si="4"/>
        <v/>
      </c>
    </row>
    <row r="322" spans="1:9" x14ac:dyDescent="0.3">
      <c r="A322" s="25"/>
      <c r="B322" s="25"/>
      <c r="C322" s="25"/>
      <c r="D322" s="26"/>
      <c r="E322" s="25"/>
      <c r="F322" s="25"/>
      <c r="G322" s="25"/>
      <c r="I322" s="15" t="str">
        <f t="shared" si="4"/>
        <v/>
      </c>
    </row>
    <row r="323" spans="1:9" x14ac:dyDescent="0.3">
      <c r="A323" s="25"/>
      <c r="B323" s="25"/>
      <c r="C323" s="25"/>
      <c r="D323" s="26"/>
      <c r="E323" s="25"/>
      <c r="F323" s="25"/>
      <c r="G323" s="25"/>
      <c r="I323" s="15" t="str">
        <f t="shared" si="4"/>
        <v/>
      </c>
    </row>
    <row r="324" spans="1:9" x14ac:dyDescent="0.3">
      <c r="A324" s="25"/>
      <c r="B324" s="25"/>
      <c r="C324" s="25"/>
      <c r="D324" s="26"/>
      <c r="E324" s="25"/>
      <c r="F324" s="25"/>
      <c r="G324" s="25"/>
      <c r="I324" s="15" t="str">
        <f t="shared" ref="I324:I387" si="5">IF($A324="","",IF(COUNTIF(DAFTAR_NAMA,$A324)=0,"⚠️ NAMA TIDAK TERDAFTAR","OK"))</f>
        <v/>
      </c>
    </row>
    <row r="325" spans="1:9" x14ac:dyDescent="0.3">
      <c r="A325" s="25"/>
      <c r="B325" s="25"/>
      <c r="C325" s="25"/>
      <c r="D325" s="26"/>
      <c r="E325" s="25"/>
      <c r="F325" s="25"/>
      <c r="G325" s="25"/>
      <c r="I325" s="15" t="str">
        <f t="shared" si="5"/>
        <v/>
      </c>
    </row>
    <row r="326" spans="1:9" x14ac:dyDescent="0.3">
      <c r="A326" s="25"/>
      <c r="B326" s="25"/>
      <c r="C326" s="25"/>
      <c r="D326" s="26"/>
      <c r="E326" s="25"/>
      <c r="F326" s="25"/>
      <c r="G326" s="25"/>
      <c r="I326" s="15" t="str">
        <f t="shared" si="5"/>
        <v/>
      </c>
    </row>
    <row r="327" spans="1:9" x14ac:dyDescent="0.3">
      <c r="A327" s="25"/>
      <c r="B327" s="25"/>
      <c r="C327" s="25"/>
      <c r="D327" s="26"/>
      <c r="E327" s="25"/>
      <c r="F327" s="25"/>
      <c r="G327" s="25"/>
      <c r="I327" s="15" t="str">
        <f t="shared" si="5"/>
        <v/>
      </c>
    </row>
    <row r="328" spans="1:9" x14ac:dyDescent="0.3">
      <c r="A328" s="25"/>
      <c r="B328" s="25"/>
      <c r="C328" s="25"/>
      <c r="D328" s="26"/>
      <c r="E328" s="25"/>
      <c r="F328" s="25"/>
      <c r="G328" s="25"/>
      <c r="I328" s="15" t="str">
        <f t="shared" si="5"/>
        <v/>
      </c>
    </row>
    <row r="329" spans="1:9" x14ac:dyDescent="0.3">
      <c r="A329" s="25"/>
      <c r="B329" s="25"/>
      <c r="C329" s="25"/>
      <c r="D329" s="26"/>
      <c r="E329" s="25"/>
      <c r="F329" s="25"/>
      <c r="G329" s="25"/>
      <c r="I329" s="15" t="str">
        <f t="shared" si="5"/>
        <v/>
      </c>
    </row>
    <row r="330" spans="1:9" x14ac:dyDescent="0.3">
      <c r="A330" s="25"/>
      <c r="B330" s="25"/>
      <c r="C330" s="25"/>
      <c r="D330" s="26"/>
      <c r="E330" s="25"/>
      <c r="F330" s="25"/>
      <c r="G330" s="25"/>
      <c r="I330" s="15" t="str">
        <f t="shared" si="5"/>
        <v/>
      </c>
    </row>
    <row r="331" spans="1:9" x14ac:dyDescent="0.3">
      <c r="A331" s="25"/>
      <c r="B331" s="25"/>
      <c r="C331" s="25"/>
      <c r="D331" s="26"/>
      <c r="E331" s="25"/>
      <c r="F331" s="25"/>
      <c r="G331" s="25"/>
      <c r="I331" s="15" t="str">
        <f t="shared" si="5"/>
        <v/>
      </c>
    </row>
    <row r="332" spans="1:9" x14ac:dyDescent="0.3">
      <c r="A332" s="25"/>
      <c r="B332" s="25"/>
      <c r="C332" s="25"/>
      <c r="D332" s="26"/>
      <c r="E332" s="25"/>
      <c r="F332" s="25"/>
      <c r="G332" s="25"/>
      <c r="I332" s="15" t="str">
        <f t="shared" si="5"/>
        <v/>
      </c>
    </row>
    <row r="333" spans="1:9" x14ac:dyDescent="0.3">
      <c r="A333" s="25"/>
      <c r="B333" s="25"/>
      <c r="C333" s="25"/>
      <c r="D333" s="26"/>
      <c r="E333" s="25"/>
      <c r="F333" s="25"/>
      <c r="G333" s="25"/>
      <c r="I333" s="15" t="str">
        <f t="shared" si="5"/>
        <v/>
      </c>
    </row>
    <row r="334" spans="1:9" x14ac:dyDescent="0.3">
      <c r="A334" s="25"/>
      <c r="B334" s="25"/>
      <c r="C334" s="25"/>
      <c r="D334" s="26"/>
      <c r="E334" s="25"/>
      <c r="F334" s="25"/>
      <c r="G334" s="25"/>
      <c r="I334" s="15" t="str">
        <f t="shared" si="5"/>
        <v/>
      </c>
    </row>
    <row r="335" spans="1:9" x14ac:dyDescent="0.3">
      <c r="A335" s="25"/>
      <c r="B335" s="25"/>
      <c r="C335" s="25"/>
      <c r="D335" s="26"/>
      <c r="E335" s="25"/>
      <c r="F335" s="25"/>
      <c r="G335" s="25"/>
      <c r="I335" s="15" t="str">
        <f t="shared" si="5"/>
        <v/>
      </c>
    </row>
    <row r="336" spans="1:9" x14ac:dyDescent="0.3">
      <c r="A336" s="25"/>
      <c r="B336" s="25"/>
      <c r="C336" s="25"/>
      <c r="D336" s="26"/>
      <c r="E336" s="25"/>
      <c r="F336" s="25"/>
      <c r="G336" s="25"/>
      <c r="I336" s="15" t="str">
        <f t="shared" si="5"/>
        <v/>
      </c>
    </row>
    <row r="337" spans="1:9" x14ac:dyDescent="0.3">
      <c r="A337" s="25"/>
      <c r="B337" s="25"/>
      <c r="C337" s="25"/>
      <c r="D337" s="26"/>
      <c r="E337" s="25"/>
      <c r="F337" s="25"/>
      <c r="G337" s="25"/>
      <c r="I337" s="15" t="str">
        <f t="shared" si="5"/>
        <v/>
      </c>
    </row>
    <row r="338" spans="1:9" x14ac:dyDescent="0.3">
      <c r="A338" s="25"/>
      <c r="B338" s="25"/>
      <c r="C338" s="25"/>
      <c r="D338" s="26"/>
      <c r="E338" s="25"/>
      <c r="F338" s="25"/>
      <c r="G338" s="25"/>
      <c r="I338" s="15" t="str">
        <f t="shared" si="5"/>
        <v/>
      </c>
    </row>
    <row r="339" spans="1:9" x14ac:dyDescent="0.3">
      <c r="A339" s="25"/>
      <c r="B339" s="25"/>
      <c r="C339" s="25"/>
      <c r="D339" s="26"/>
      <c r="E339" s="25"/>
      <c r="F339" s="25"/>
      <c r="G339" s="25"/>
      <c r="I339" s="15" t="str">
        <f t="shared" si="5"/>
        <v/>
      </c>
    </row>
    <row r="340" spans="1:9" x14ac:dyDescent="0.3">
      <c r="A340" s="25"/>
      <c r="B340" s="25"/>
      <c r="C340" s="25"/>
      <c r="D340" s="26"/>
      <c r="E340" s="25"/>
      <c r="F340" s="25"/>
      <c r="G340" s="25"/>
      <c r="I340" s="15" t="str">
        <f t="shared" si="5"/>
        <v/>
      </c>
    </row>
    <row r="341" spans="1:9" x14ac:dyDescent="0.3">
      <c r="A341" s="25"/>
      <c r="B341" s="25"/>
      <c r="C341" s="25"/>
      <c r="D341" s="26"/>
      <c r="E341" s="25"/>
      <c r="F341" s="25"/>
      <c r="G341" s="25"/>
      <c r="I341" s="15" t="str">
        <f t="shared" si="5"/>
        <v/>
      </c>
    </row>
    <row r="342" spans="1:9" x14ac:dyDescent="0.3">
      <c r="A342" s="25"/>
      <c r="B342" s="25"/>
      <c r="C342" s="25"/>
      <c r="D342" s="26"/>
      <c r="E342" s="25"/>
      <c r="F342" s="25"/>
      <c r="G342" s="25"/>
      <c r="I342" s="15" t="str">
        <f t="shared" si="5"/>
        <v/>
      </c>
    </row>
    <row r="343" spans="1:9" x14ac:dyDescent="0.3">
      <c r="A343" s="25"/>
      <c r="B343" s="25"/>
      <c r="C343" s="25"/>
      <c r="D343" s="26"/>
      <c r="E343" s="25"/>
      <c r="F343" s="25"/>
      <c r="G343" s="25"/>
      <c r="I343" s="15" t="str">
        <f t="shared" si="5"/>
        <v/>
      </c>
    </row>
    <row r="344" spans="1:9" x14ac:dyDescent="0.3">
      <c r="A344" s="25"/>
      <c r="B344" s="25"/>
      <c r="C344" s="25"/>
      <c r="D344" s="26"/>
      <c r="E344" s="25"/>
      <c r="F344" s="25"/>
      <c r="G344" s="25"/>
      <c r="I344" s="15" t="str">
        <f t="shared" si="5"/>
        <v/>
      </c>
    </row>
    <row r="345" spans="1:9" x14ac:dyDescent="0.3">
      <c r="A345" s="25"/>
      <c r="B345" s="25"/>
      <c r="C345" s="25"/>
      <c r="D345" s="26"/>
      <c r="E345" s="25"/>
      <c r="F345" s="25"/>
      <c r="G345" s="25"/>
      <c r="I345" s="15" t="str">
        <f t="shared" si="5"/>
        <v/>
      </c>
    </row>
    <row r="346" spans="1:9" x14ac:dyDescent="0.3">
      <c r="A346" s="25"/>
      <c r="B346" s="25"/>
      <c r="C346" s="25"/>
      <c r="D346" s="26"/>
      <c r="E346" s="25"/>
      <c r="F346" s="25"/>
      <c r="G346" s="25"/>
      <c r="I346" s="15" t="str">
        <f t="shared" si="5"/>
        <v/>
      </c>
    </row>
    <row r="347" spans="1:9" x14ac:dyDescent="0.3">
      <c r="A347" s="25"/>
      <c r="B347" s="25"/>
      <c r="C347" s="25"/>
      <c r="D347" s="26"/>
      <c r="E347" s="25"/>
      <c r="F347" s="25"/>
      <c r="G347" s="25"/>
      <c r="I347" s="15" t="str">
        <f t="shared" si="5"/>
        <v/>
      </c>
    </row>
    <row r="348" spans="1:9" x14ac:dyDescent="0.3">
      <c r="A348" s="25"/>
      <c r="B348" s="25"/>
      <c r="C348" s="25"/>
      <c r="D348" s="26"/>
      <c r="E348" s="25"/>
      <c r="F348" s="25"/>
      <c r="G348" s="25"/>
      <c r="I348" s="15" t="str">
        <f t="shared" si="5"/>
        <v/>
      </c>
    </row>
    <row r="349" spans="1:9" x14ac:dyDescent="0.3">
      <c r="A349" s="25"/>
      <c r="B349" s="25"/>
      <c r="C349" s="25"/>
      <c r="D349" s="26"/>
      <c r="E349" s="25"/>
      <c r="F349" s="25"/>
      <c r="G349" s="25"/>
      <c r="I349" s="15" t="str">
        <f t="shared" si="5"/>
        <v/>
      </c>
    </row>
    <row r="350" spans="1:9" x14ac:dyDescent="0.3">
      <c r="A350" s="25"/>
      <c r="B350" s="25"/>
      <c r="C350" s="25"/>
      <c r="D350" s="26"/>
      <c r="E350" s="25"/>
      <c r="F350" s="25"/>
      <c r="G350" s="25"/>
      <c r="I350" s="15" t="str">
        <f t="shared" si="5"/>
        <v/>
      </c>
    </row>
    <row r="351" spans="1:9" x14ac:dyDescent="0.3">
      <c r="A351" s="25"/>
      <c r="B351" s="25"/>
      <c r="C351" s="25"/>
      <c r="D351" s="26"/>
      <c r="E351" s="25"/>
      <c r="F351" s="25"/>
      <c r="G351" s="25"/>
      <c r="I351" s="15" t="str">
        <f t="shared" si="5"/>
        <v/>
      </c>
    </row>
    <row r="352" spans="1:9" x14ac:dyDescent="0.3">
      <c r="A352" s="25"/>
      <c r="B352" s="25"/>
      <c r="C352" s="25"/>
      <c r="D352" s="26"/>
      <c r="E352" s="25"/>
      <c r="F352" s="25"/>
      <c r="G352" s="25"/>
      <c r="I352" s="15" t="str">
        <f t="shared" si="5"/>
        <v/>
      </c>
    </row>
    <row r="353" spans="1:9" x14ac:dyDescent="0.3">
      <c r="A353" s="25"/>
      <c r="B353" s="25"/>
      <c r="C353" s="25"/>
      <c r="D353" s="26"/>
      <c r="E353" s="25"/>
      <c r="F353" s="25"/>
      <c r="G353" s="25"/>
      <c r="I353" s="15" t="str">
        <f t="shared" si="5"/>
        <v/>
      </c>
    </row>
    <row r="354" spans="1:9" x14ac:dyDescent="0.3">
      <c r="A354" s="25"/>
      <c r="B354" s="25"/>
      <c r="C354" s="25"/>
      <c r="D354" s="26"/>
      <c r="E354" s="25"/>
      <c r="F354" s="25"/>
      <c r="G354" s="25"/>
      <c r="I354" s="15" t="str">
        <f t="shared" si="5"/>
        <v/>
      </c>
    </row>
    <row r="355" spans="1:9" x14ac:dyDescent="0.3">
      <c r="A355" s="25"/>
      <c r="B355" s="25"/>
      <c r="C355" s="25"/>
      <c r="D355" s="26"/>
      <c r="E355" s="25"/>
      <c r="F355" s="25"/>
      <c r="G355" s="25"/>
      <c r="I355" s="15" t="str">
        <f t="shared" si="5"/>
        <v/>
      </c>
    </row>
    <row r="356" spans="1:9" x14ac:dyDescent="0.3">
      <c r="A356" s="25"/>
      <c r="B356" s="25"/>
      <c r="C356" s="25"/>
      <c r="D356" s="26"/>
      <c r="E356" s="25"/>
      <c r="F356" s="25"/>
      <c r="G356" s="25"/>
      <c r="I356" s="15" t="str">
        <f t="shared" si="5"/>
        <v/>
      </c>
    </row>
    <row r="357" spans="1:9" x14ac:dyDescent="0.3">
      <c r="A357" s="25"/>
      <c r="B357" s="25"/>
      <c r="C357" s="25"/>
      <c r="D357" s="26"/>
      <c r="E357" s="25"/>
      <c r="F357" s="25"/>
      <c r="G357" s="25"/>
      <c r="I357" s="15" t="str">
        <f t="shared" si="5"/>
        <v/>
      </c>
    </row>
    <row r="358" spans="1:9" x14ac:dyDescent="0.3">
      <c r="A358" s="25"/>
      <c r="B358" s="25"/>
      <c r="C358" s="25"/>
      <c r="D358" s="26"/>
      <c r="E358" s="25"/>
      <c r="F358" s="25"/>
      <c r="G358" s="25"/>
      <c r="I358" s="15" t="str">
        <f t="shared" si="5"/>
        <v/>
      </c>
    </row>
    <row r="359" spans="1:9" x14ac:dyDescent="0.3">
      <c r="A359" s="25"/>
      <c r="B359" s="25"/>
      <c r="C359" s="25"/>
      <c r="D359" s="26"/>
      <c r="E359" s="25"/>
      <c r="F359" s="25"/>
      <c r="G359" s="25"/>
      <c r="I359" s="15" t="str">
        <f t="shared" si="5"/>
        <v/>
      </c>
    </row>
    <row r="360" spans="1:9" x14ac:dyDescent="0.3">
      <c r="A360" s="25"/>
      <c r="B360" s="25"/>
      <c r="C360" s="25"/>
      <c r="D360" s="26"/>
      <c r="E360" s="25"/>
      <c r="F360" s="25"/>
      <c r="G360" s="25"/>
      <c r="I360" s="15" t="str">
        <f t="shared" si="5"/>
        <v/>
      </c>
    </row>
    <row r="361" spans="1:9" x14ac:dyDescent="0.3">
      <c r="A361" s="25"/>
      <c r="B361" s="25"/>
      <c r="C361" s="25"/>
      <c r="D361" s="26"/>
      <c r="E361" s="25"/>
      <c r="F361" s="25"/>
      <c r="G361" s="25"/>
      <c r="I361" s="15" t="str">
        <f t="shared" si="5"/>
        <v/>
      </c>
    </row>
    <row r="362" spans="1:9" x14ac:dyDescent="0.3">
      <c r="A362" s="25"/>
      <c r="B362" s="25"/>
      <c r="C362" s="25"/>
      <c r="D362" s="26"/>
      <c r="E362" s="25"/>
      <c r="F362" s="25"/>
      <c r="G362" s="25"/>
      <c r="I362" s="15" t="str">
        <f t="shared" si="5"/>
        <v/>
      </c>
    </row>
    <row r="363" spans="1:9" x14ac:dyDescent="0.3">
      <c r="A363" s="25"/>
      <c r="B363" s="25"/>
      <c r="C363" s="25"/>
      <c r="D363" s="26"/>
      <c r="E363" s="25"/>
      <c r="F363" s="25"/>
      <c r="G363" s="25"/>
      <c r="I363" s="15" t="str">
        <f t="shared" si="5"/>
        <v/>
      </c>
    </row>
    <row r="364" spans="1:9" x14ac:dyDescent="0.3">
      <c r="A364" s="25"/>
      <c r="B364" s="25"/>
      <c r="C364" s="25"/>
      <c r="D364" s="26"/>
      <c r="E364" s="25"/>
      <c r="F364" s="25"/>
      <c r="G364" s="25"/>
      <c r="I364" s="15" t="str">
        <f t="shared" si="5"/>
        <v/>
      </c>
    </row>
    <row r="365" spans="1:9" x14ac:dyDescent="0.3">
      <c r="A365" s="25"/>
      <c r="B365" s="25"/>
      <c r="C365" s="25"/>
      <c r="D365" s="26"/>
      <c r="E365" s="25"/>
      <c r="F365" s="25"/>
      <c r="G365" s="25"/>
      <c r="I365" s="15" t="str">
        <f t="shared" si="5"/>
        <v/>
      </c>
    </row>
    <row r="366" spans="1:9" x14ac:dyDescent="0.3">
      <c r="A366" s="25"/>
      <c r="B366" s="25"/>
      <c r="C366" s="25"/>
      <c r="D366" s="26"/>
      <c r="E366" s="25"/>
      <c r="F366" s="25"/>
      <c r="G366" s="25"/>
      <c r="I366" s="15" t="str">
        <f t="shared" si="5"/>
        <v/>
      </c>
    </row>
    <row r="367" spans="1:9" x14ac:dyDescent="0.3">
      <c r="A367" s="25"/>
      <c r="B367" s="25"/>
      <c r="C367" s="25"/>
      <c r="D367" s="26"/>
      <c r="E367" s="25"/>
      <c r="F367" s="25"/>
      <c r="G367" s="25"/>
      <c r="I367" s="15" t="str">
        <f t="shared" si="5"/>
        <v/>
      </c>
    </row>
    <row r="368" spans="1:9" x14ac:dyDescent="0.3">
      <c r="A368" s="25"/>
      <c r="B368" s="25"/>
      <c r="C368" s="25"/>
      <c r="D368" s="26"/>
      <c r="E368" s="25"/>
      <c r="F368" s="25"/>
      <c r="G368" s="25"/>
      <c r="I368" s="15" t="str">
        <f t="shared" si="5"/>
        <v/>
      </c>
    </row>
    <row r="369" spans="1:9" x14ac:dyDescent="0.3">
      <c r="A369" s="25"/>
      <c r="B369" s="25"/>
      <c r="C369" s="25"/>
      <c r="D369" s="26"/>
      <c r="E369" s="25"/>
      <c r="F369" s="25"/>
      <c r="G369" s="25"/>
      <c r="I369" s="15" t="str">
        <f t="shared" si="5"/>
        <v/>
      </c>
    </row>
    <row r="370" spans="1:9" x14ac:dyDescent="0.3">
      <c r="A370" s="25"/>
      <c r="B370" s="25"/>
      <c r="C370" s="25"/>
      <c r="D370" s="26"/>
      <c r="E370" s="25"/>
      <c r="F370" s="25"/>
      <c r="G370" s="25"/>
      <c r="I370" s="15" t="str">
        <f t="shared" si="5"/>
        <v/>
      </c>
    </row>
    <row r="371" spans="1:9" x14ac:dyDescent="0.3">
      <c r="A371" s="25"/>
      <c r="B371" s="25"/>
      <c r="C371" s="25"/>
      <c r="D371" s="26"/>
      <c r="E371" s="25"/>
      <c r="F371" s="25"/>
      <c r="G371" s="25"/>
      <c r="I371" s="15" t="str">
        <f t="shared" si="5"/>
        <v/>
      </c>
    </row>
    <row r="372" spans="1:9" x14ac:dyDescent="0.3">
      <c r="A372" s="25"/>
      <c r="B372" s="25"/>
      <c r="C372" s="25"/>
      <c r="D372" s="26"/>
      <c r="E372" s="25"/>
      <c r="F372" s="25"/>
      <c r="G372" s="25"/>
      <c r="I372" s="15" t="str">
        <f t="shared" si="5"/>
        <v/>
      </c>
    </row>
    <row r="373" spans="1:9" x14ac:dyDescent="0.3">
      <c r="A373" s="25"/>
      <c r="B373" s="25"/>
      <c r="C373" s="25"/>
      <c r="D373" s="26"/>
      <c r="E373" s="25"/>
      <c r="F373" s="25"/>
      <c r="G373" s="25"/>
      <c r="I373" s="15" t="str">
        <f t="shared" si="5"/>
        <v/>
      </c>
    </row>
    <row r="374" spans="1:9" x14ac:dyDescent="0.3">
      <c r="A374" s="25"/>
      <c r="B374" s="25"/>
      <c r="C374" s="25"/>
      <c r="D374" s="26"/>
      <c r="E374" s="25"/>
      <c r="F374" s="25"/>
      <c r="G374" s="25"/>
      <c r="I374" s="15" t="str">
        <f t="shared" si="5"/>
        <v/>
      </c>
    </row>
    <row r="375" spans="1:9" x14ac:dyDescent="0.3">
      <c r="A375" s="25"/>
      <c r="B375" s="25"/>
      <c r="C375" s="25"/>
      <c r="D375" s="26"/>
      <c r="E375" s="25"/>
      <c r="F375" s="25"/>
      <c r="G375" s="25"/>
      <c r="I375" s="15" t="str">
        <f t="shared" si="5"/>
        <v/>
      </c>
    </row>
    <row r="376" spans="1:9" x14ac:dyDescent="0.3">
      <c r="A376" s="25"/>
      <c r="B376" s="25"/>
      <c r="C376" s="25"/>
      <c r="D376" s="26"/>
      <c r="E376" s="25"/>
      <c r="F376" s="25"/>
      <c r="G376" s="25"/>
      <c r="I376" s="15" t="str">
        <f t="shared" si="5"/>
        <v/>
      </c>
    </row>
    <row r="377" spans="1:9" x14ac:dyDescent="0.3">
      <c r="A377" s="25"/>
      <c r="B377" s="25"/>
      <c r="C377" s="25"/>
      <c r="D377" s="26"/>
      <c r="E377" s="25"/>
      <c r="F377" s="25"/>
      <c r="G377" s="25"/>
      <c r="I377" s="15" t="str">
        <f t="shared" si="5"/>
        <v/>
      </c>
    </row>
    <row r="378" spans="1:9" x14ac:dyDescent="0.3">
      <c r="A378" s="25"/>
      <c r="B378" s="25"/>
      <c r="C378" s="25"/>
      <c r="D378" s="26"/>
      <c r="E378" s="25"/>
      <c r="F378" s="25"/>
      <c r="G378" s="25"/>
      <c r="I378" s="15" t="str">
        <f t="shared" si="5"/>
        <v/>
      </c>
    </row>
    <row r="379" spans="1:9" x14ac:dyDescent="0.3">
      <c r="A379" s="25"/>
      <c r="B379" s="25"/>
      <c r="C379" s="25"/>
      <c r="D379" s="26"/>
      <c r="E379" s="25"/>
      <c r="F379" s="25"/>
      <c r="G379" s="25"/>
      <c r="I379" s="15" t="str">
        <f t="shared" si="5"/>
        <v/>
      </c>
    </row>
    <row r="380" spans="1:9" x14ac:dyDescent="0.3">
      <c r="A380" s="25"/>
      <c r="B380" s="25"/>
      <c r="C380" s="25"/>
      <c r="D380" s="26"/>
      <c r="E380" s="25"/>
      <c r="F380" s="25"/>
      <c r="G380" s="25"/>
      <c r="I380" s="15" t="str">
        <f t="shared" si="5"/>
        <v/>
      </c>
    </row>
    <row r="381" spans="1:9" x14ac:dyDescent="0.3">
      <c r="A381" s="25"/>
      <c r="B381" s="25"/>
      <c r="C381" s="25"/>
      <c r="D381" s="26"/>
      <c r="E381" s="25"/>
      <c r="F381" s="25"/>
      <c r="G381" s="25"/>
      <c r="I381" s="15" t="str">
        <f t="shared" si="5"/>
        <v/>
      </c>
    </row>
    <row r="382" spans="1:9" x14ac:dyDescent="0.3">
      <c r="A382" s="25"/>
      <c r="B382" s="25"/>
      <c r="C382" s="25"/>
      <c r="D382" s="26"/>
      <c r="E382" s="25"/>
      <c r="F382" s="25"/>
      <c r="G382" s="25"/>
      <c r="I382" s="15" t="str">
        <f t="shared" si="5"/>
        <v/>
      </c>
    </row>
    <row r="383" spans="1:9" x14ac:dyDescent="0.3">
      <c r="A383" s="25"/>
      <c r="B383" s="25"/>
      <c r="C383" s="25"/>
      <c r="D383" s="26"/>
      <c r="E383" s="25"/>
      <c r="F383" s="25"/>
      <c r="G383" s="25"/>
      <c r="I383" s="15" t="str">
        <f t="shared" si="5"/>
        <v/>
      </c>
    </row>
    <row r="384" spans="1:9" x14ac:dyDescent="0.3">
      <c r="A384" s="25"/>
      <c r="B384" s="25"/>
      <c r="C384" s="25"/>
      <c r="D384" s="26"/>
      <c r="E384" s="25"/>
      <c r="F384" s="25"/>
      <c r="G384" s="25"/>
      <c r="I384" s="15" t="str">
        <f t="shared" si="5"/>
        <v/>
      </c>
    </row>
    <row r="385" spans="1:9" x14ac:dyDescent="0.3">
      <c r="A385" s="25"/>
      <c r="B385" s="25"/>
      <c r="C385" s="25"/>
      <c r="D385" s="26"/>
      <c r="E385" s="25"/>
      <c r="F385" s="25"/>
      <c r="G385" s="25"/>
      <c r="I385" s="15" t="str">
        <f t="shared" si="5"/>
        <v/>
      </c>
    </row>
    <row r="386" spans="1:9" x14ac:dyDescent="0.3">
      <c r="A386" s="25"/>
      <c r="B386" s="25"/>
      <c r="C386" s="25"/>
      <c r="D386" s="26"/>
      <c r="E386" s="25"/>
      <c r="F386" s="25"/>
      <c r="G386" s="25"/>
      <c r="I386" s="15" t="str">
        <f t="shared" si="5"/>
        <v/>
      </c>
    </row>
    <row r="387" spans="1:9" x14ac:dyDescent="0.3">
      <c r="A387" s="25"/>
      <c r="B387" s="25"/>
      <c r="C387" s="25"/>
      <c r="D387" s="26"/>
      <c r="E387" s="25"/>
      <c r="F387" s="25"/>
      <c r="G387" s="25"/>
      <c r="I387" s="15" t="str">
        <f t="shared" si="5"/>
        <v/>
      </c>
    </row>
    <row r="388" spans="1:9" x14ac:dyDescent="0.3">
      <c r="A388" s="25"/>
      <c r="B388" s="25"/>
      <c r="C388" s="25"/>
      <c r="D388" s="26"/>
      <c r="E388" s="25"/>
      <c r="F388" s="25"/>
      <c r="G388" s="25"/>
      <c r="I388" s="15" t="str">
        <f t="shared" ref="I388:I451" si="6">IF($A388="","",IF(COUNTIF(DAFTAR_NAMA,$A388)=0,"⚠️ NAMA TIDAK TERDAFTAR","OK"))</f>
        <v/>
      </c>
    </row>
    <row r="389" spans="1:9" x14ac:dyDescent="0.3">
      <c r="A389" s="25"/>
      <c r="B389" s="25"/>
      <c r="C389" s="25"/>
      <c r="D389" s="26"/>
      <c r="E389" s="25"/>
      <c r="F389" s="25"/>
      <c r="G389" s="25"/>
      <c r="I389" s="15" t="str">
        <f t="shared" si="6"/>
        <v/>
      </c>
    </row>
    <row r="390" spans="1:9" x14ac:dyDescent="0.3">
      <c r="A390" s="25"/>
      <c r="B390" s="25"/>
      <c r="C390" s="25"/>
      <c r="D390" s="26"/>
      <c r="E390" s="25"/>
      <c r="F390" s="25"/>
      <c r="G390" s="25"/>
      <c r="I390" s="15" t="str">
        <f t="shared" si="6"/>
        <v/>
      </c>
    </row>
    <row r="391" spans="1:9" x14ac:dyDescent="0.3">
      <c r="A391" s="25"/>
      <c r="B391" s="25"/>
      <c r="C391" s="25"/>
      <c r="D391" s="26"/>
      <c r="E391" s="25"/>
      <c r="F391" s="25"/>
      <c r="G391" s="25"/>
      <c r="I391" s="15" t="str">
        <f t="shared" si="6"/>
        <v/>
      </c>
    </row>
    <row r="392" spans="1:9" x14ac:dyDescent="0.3">
      <c r="A392" s="25"/>
      <c r="B392" s="25"/>
      <c r="C392" s="25"/>
      <c r="D392" s="26"/>
      <c r="E392" s="25"/>
      <c r="F392" s="25"/>
      <c r="G392" s="25"/>
      <c r="I392" s="15" t="str">
        <f t="shared" si="6"/>
        <v/>
      </c>
    </row>
    <row r="393" spans="1:9" x14ac:dyDescent="0.3">
      <c r="A393" s="25"/>
      <c r="B393" s="25"/>
      <c r="C393" s="25"/>
      <c r="D393" s="26"/>
      <c r="E393" s="25"/>
      <c r="F393" s="25"/>
      <c r="G393" s="25"/>
      <c r="I393" s="15" t="str">
        <f t="shared" si="6"/>
        <v/>
      </c>
    </row>
    <row r="394" spans="1:9" x14ac:dyDescent="0.3">
      <c r="A394" s="25"/>
      <c r="B394" s="25"/>
      <c r="C394" s="25"/>
      <c r="D394" s="26"/>
      <c r="E394" s="25"/>
      <c r="F394" s="25"/>
      <c r="G394" s="25"/>
      <c r="I394" s="15" t="str">
        <f t="shared" si="6"/>
        <v/>
      </c>
    </row>
    <row r="395" spans="1:9" x14ac:dyDescent="0.3">
      <c r="A395" s="25"/>
      <c r="B395" s="25"/>
      <c r="C395" s="25"/>
      <c r="D395" s="26"/>
      <c r="E395" s="25"/>
      <c r="F395" s="25"/>
      <c r="G395" s="25"/>
      <c r="I395" s="15" t="str">
        <f t="shared" si="6"/>
        <v/>
      </c>
    </row>
    <row r="396" spans="1:9" x14ac:dyDescent="0.3">
      <c r="A396" s="25"/>
      <c r="B396" s="25"/>
      <c r="C396" s="25"/>
      <c r="D396" s="26"/>
      <c r="E396" s="25"/>
      <c r="F396" s="25"/>
      <c r="G396" s="25"/>
      <c r="I396" s="15" t="str">
        <f t="shared" si="6"/>
        <v/>
      </c>
    </row>
    <row r="397" spans="1:9" x14ac:dyDescent="0.3">
      <c r="A397" s="25"/>
      <c r="B397" s="25"/>
      <c r="C397" s="25"/>
      <c r="D397" s="26"/>
      <c r="E397" s="25"/>
      <c r="F397" s="25"/>
      <c r="G397" s="25"/>
      <c r="I397" s="15" t="str">
        <f t="shared" si="6"/>
        <v/>
      </c>
    </row>
    <row r="398" spans="1:9" x14ac:dyDescent="0.3">
      <c r="A398" s="25"/>
      <c r="B398" s="25"/>
      <c r="C398" s="25"/>
      <c r="D398" s="26"/>
      <c r="E398" s="25"/>
      <c r="F398" s="25"/>
      <c r="G398" s="25"/>
      <c r="I398" s="15" t="str">
        <f t="shared" si="6"/>
        <v/>
      </c>
    </row>
    <row r="399" spans="1:9" x14ac:dyDescent="0.3">
      <c r="A399" s="25"/>
      <c r="B399" s="25"/>
      <c r="C399" s="25"/>
      <c r="D399" s="26"/>
      <c r="E399" s="25"/>
      <c r="F399" s="25"/>
      <c r="G399" s="25"/>
      <c r="I399" s="15" t="str">
        <f t="shared" si="6"/>
        <v/>
      </c>
    </row>
    <row r="400" spans="1:9" x14ac:dyDescent="0.3">
      <c r="A400" s="25"/>
      <c r="B400" s="25"/>
      <c r="C400" s="25"/>
      <c r="D400" s="26"/>
      <c r="E400" s="25"/>
      <c r="F400" s="25"/>
      <c r="G400" s="25"/>
      <c r="I400" s="15" t="str">
        <f t="shared" si="6"/>
        <v/>
      </c>
    </row>
    <row r="401" spans="1:9" x14ac:dyDescent="0.3">
      <c r="A401" s="25"/>
      <c r="B401" s="25"/>
      <c r="C401" s="25"/>
      <c r="D401" s="26"/>
      <c r="E401" s="25"/>
      <c r="F401" s="25"/>
      <c r="G401" s="25"/>
      <c r="I401" s="15" t="str">
        <f t="shared" si="6"/>
        <v/>
      </c>
    </row>
    <row r="402" spans="1:9" x14ac:dyDescent="0.3">
      <c r="A402" s="25"/>
      <c r="B402" s="25"/>
      <c r="C402" s="25"/>
      <c r="D402" s="26"/>
      <c r="E402" s="25"/>
      <c r="F402" s="25"/>
      <c r="G402" s="25"/>
      <c r="I402" s="15" t="str">
        <f t="shared" si="6"/>
        <v/>
      </c>
    </row>
    <row r="403" spans="1:9" x14ac:dyDescent="0.3">
      <c r="A403" s="25"/>
      <c r="B403" s="25"/>
      <c r="C403" s="25"/>
      <c r="D403" s="26"/>
      <c r="E403" s="25"/>
      <c r="F403" s="25"/>
      <c r="G403" s="25"/>
      <c r="I403" s="15" t="str">
        <f t="shared" si="6"/>
        <v/>
      </c>
    </row>
    <row r="404" spans="1:9" x14ac:dyDescent="0.3">
      <c r="A404" s="25"/>
      <c r="B404" s="25"/>
      <c r="C404" s="25"/>
      <c r="D404" s="26"/>
      <c r="E404" s="25"/>
      <c r="F404" s="25"/>
      <c r="G404" s="25"/>
      <c r="I404" s="15" t="str">
        <f t="shared" si="6"/>
        <v/>
      </c>
    </row>
    <row r="405" spans="1:9" x14ac:dyDescent="0.3">
      <c r="A405" s="25"/>
      <c r="B405" s="25"/>
      <c r="C405" s="25"/>
      <c r="D405" s="26"/>
      <c r="E405" s="25"/>
      <c r="F405" s="25"/>
      <c r="G405" s="25"/>
      <c r="I405" s="15" t="str">
        <f t="shared" si="6"/>
        <v/>
      </c>
    </row>
    <row r="406" spans="1:9" x14ac:dyDescent="0.3">
      <c r="A406" s="25"/>
      <c r="B406" s="25"/>
      <c r="C406" s="25"/>
      <c r="D406" s="26"/>
      <c r="E406" s="25"/>
      <c r="F406" s="25"/>
      <c r="G406" s="25"/>
      <c r="I406" s="15" t="str">
        <f t="shared" si="6"/>
        <v/>
      </c>
    </row>
    <row r="407" spans="1:9" x14ac:dyDescent="0.3">
      <c r="A407" s="25"/>
      <c r="B407" s="25"/>
      <c r="C407" s="25"/>
      <c r="D407" s="26"/>
      <c r="E407" s="25"/>
      <c r="F407" s="25"/>
      <c r="G407" s="25"/>
      <c r="I407" s="15" t="str">
        <f t="shared" si="6"/>
        <v/>
      </c>
    </row>
    <row r="408" spans="1:9" x14ac:dyDescent="0.3">
      <c r="A408" s="25"/>
      <c r="B408" s="25"/>
      <c r="C408" s="25"/>
      <c r="D408" s="26"/>
      <c r="E408" s="25"/>
      <c r="F408" s="25"/>
      <c r="G408" s="25"/>
      <c r="I408" s="15" t="str">
        <f t="shared" si="6"/>
        <v/>
      </c>
    </row>
    <row r="409" spans="1:9" x14ac:dyDescent="0.3">
      <c r="A409" s="25"/>
      <c r="B409" s="25"/>
      <c r="C409" s="25"/>
      <c r="D409" s="26"/>
      <c r="E409" s="25"/>
      <c r="F409" s="25"/>
      <c r="G409" s="25"/>
      <c r="I409" s="15" t="str">
        <f t="shared" si="6"/>
        <v/>
      </c>
    </row>
    <row r="410" spans="1:9" x14ac:dyDescent="0.3">
      <c r="A410" s="25"/>
      <c r="B410" s="25"/>
      <c r="C410" s="25"/>
      <c r="D410" s="26"/>
      <c r="E410" s="25"/>
      <c r="F410" s="25"/>
      <c r="G410" s="25"/>
      <c r="I410" s="15" t="str">
        <f t="shared" si="6"/>
        <v/>
      </c>
    </row>
    <row r="411" spans="1:9" x14ac:dyDescent="0.3">
      <c r="A411" s="25"/>
      <c r="B411" s="25"/>
      <c r="C411" s="25"/>
      <c r="D411" s="26"/>
      <c r="E411" s="25"/>
      <c r="F411" s="25"/>
      <c r="G411" s="25"/>
      <c r="I411" s="15" t="str">
        <f t="shared" si="6"/>
        <v/>
      </c>
    </row>
    <row r="412" spans="1:9" x14ac:dyDescent="0.3">
      <c r="A412" s="25"/>
      <c r="B412" s="25"/>
      <c r="C412" s="25"/>
      <c r="D412" s="26"/>
      <c r="E412" s="25"/>
      <c r="F412" s="25"/>
      <c r="G412" s="25"/>
      <c r="I412" s="15" t="str">
        <f t="shared" si="6"/>
        <v/>
      </c>
    </row>
    <row r="413" spans="1:9" x14ac:dyDescent="0.3">
      <c r="A413" s="25"/>
      <c r="B413" s="25"/>
      <c r="C413" s="25"/>
      <c r="D413" s="26"/>
      <c r="E413" s="25"/>
      <c r="F413" s="25"/>
      <c r="G413" s="25"/>
      <c r="I413" s="15" t="str">
        <f t="shared" si="6"/>
        <v/>
      </c>
    </row>
    <row r="414" spans="1:9" x14ac:dyDescent="0.3">
      <c r="A414" s="25"/>
      <c r="B414" s="25"/>
      <c r="C414" s="25"/>
      <c r="D414" s="26"/>
      <c r="E414" s="25"/>
      <c r="F414" s="25"/>
      <c r="G414" s="25"/>
      <c r="I414" s="15" t="str">
        <f t="shared" si="6"/>
        <v/>
      </c>
    </row>
    <row r="415" spans="1:9" x14ac:dyDescent="0.3">
      <c r="A415" s="25"/>
      <c r="B415" s="25"/>
      <c r="C415" s="25"/>
      <c r="D415" s="26"/>
      <c r="E415" s="25"/>
      <c r="F415" s="25"/>
      <c r="G415" s="25"/>
      <c r="I415" s="15" t="str">
        <f t="shared" si="6"/>
        <v/>
      </c>
    </row>
    <row r="416" spans="1:9" x14ac:dyDescent="0.3">
      <c r="A416" s="25"/>
      <c r="B416" s="25"/>
      <c r="C416" s="25"/>
      <c r="D416" s="26"/>
      <c r="E416" s="25"/>
      <c r="F416" s="25"/>
      <c r="G416" s="25"/>
      <c r="I416" s="15" t="str">
        <f t="shared" si="6"/>
        <v/>
      </c>
    </row>
    <row r="417" spans="1:9" x14ac:dyDescent="0.3">
      <c r="A417" s="25"/>
      <c r="B417" s="25"/>
      <c r="C417" s="25"/>
      <c r="D417" s="26"/>
      <c r="E417" s="25"/>
      <c r="F417" s="25"/>
      <c r="G417" s="25"/>
      <c r="I417" s="15" t="str">
        <f t="shared" si="6"/>
        <v/>
      </c>
    </row>
    <row r="418" spans="1:9" x14ac:dyDescent="0.3">
      <c r="A418" s="25"/>
      <c r="B418" s="25"/>
      <c r="C418" s="25"/>
      <c r="D418" s="26"/>
      <c r="E418" s="25"/>
      <c r="F418" s="25"/>
      <c r="G418" s="25"/>
      <c r="I418" s="15" t="str">
        <f t="shared" si="6"/>
        <v/>
      </c>
    </row>
    <row r="419" spans="1:9" x14ac:dyDescent="0.3">
      <c r="A419" s="25"/>
      <c r="B419" s="25"/>
      <c r="C419" s="25"/>
      <c r="D419" s="26"/>
      <c r="E419" s="25"/>
      <c r="F419" s="25"/>
      <c r="G419" s="25"/>
      <c r="I419" s="15" t="str">
        <f t="shared" si="6"/>
        <v/>
      </c>
    </row>
    <row r="420" spans="1:9" x14ac:dyDescent="0.3">
      <c r="A420" s="25"/>
      <c r="B420" s="25"/>
      <c r="C420" s="25"/>
      <c r="D420" s="26"/>
      <c r="E420" s="25"/>
      <c r="F420" s="25"/>
      <c r="G420" s="25"/>
      <c r="I420" s="15" t="str">
        <f t="shared" si="6"/>
        <v/>
      </c>
    </row>
    <row r="421" spans="1:9" x14ac:dyDescent="0.3">
      <c r="A421" s="25"/>
      <c r="B421" s="25"/>
      <c r="C421" s="25"/>
      <c r="D421" s="26"/>
      <c r="E421" s="25"/>
      <c r="F421" s="25"/>
      <c r="G421" s="25"/>
      <c r="I421" s="15" t="str">
        <f t="shared" si="6"/>
        <v/>
      </c>
    </row>
    <row r="422" spans="1:9" x14ac:dyDescent="0.3">
      <c r="A422" s="25"/>
      <c r="B422" s="25"/>
      <c r="C422" s="25"/>
      <c r="D422" s="26"/>
      <c r="E422" s="25"/>
      <c r="F422" s="25"/>
      <c r="G422" s="25"/>
      <c r="I422" s="15" t="str">
        <f t="shared" si="6"/>
        <v/>
      </c>
    </row>
    <row r="423" spans="1:9" x14ac:dyDescent="0.3">
      <c r="A423" s="25"/>
      <c r="B423" s="25"/>
      <c r="C423" s="25"/>
      <c r="D423" s="26"/>
      <c r="E423" s="25"/>
      <c r="F423" s="25"/>
      <c r="G423" s="25"/>
      <c r="I423" s="15" t="str">
        <f t="shared" si="6"/>
        <v/>
      </c>
    </row>
    <row r="424" spans="1:9" x14ac:dyDescent="0.3">
      <c r="A424" s="25"/>
      <c r="B424" s="25"/>
      <c r="C424" s="25"/>
      <c r="D424" s="26"/>
      <c r="E424" s="25"/>
      <c r="F424" s="25"/>
      <c r="G424" s="25"/>
      <c r="I424" s="15" t="str">
        <f t="shared" si="6"/>
        <v/>
      </c>
    </row>
    <row r="425" spans="1:9" x14ac:dyDescent="0.3">
      <c r="A425" s="25"/>
      <c r="B425" s="25"/>
      <c r="C425" s="25"/>
      <c r="D425" s="26"/>
      <c r="E425" s="25"/>
      <c r="F425" s="25"/>
      <c r="G425" s="25"/>
      <c r="I425" s="15" t="str">
        <f t="shared" si="6"/>
        <v/>
      </c>
    </row>
    <row r="426" spans="1:9" x14ac:dyDescent="0.3">
      <c r="A426" s="25"/>
      <c r="B426" s="25"/>
      <c r="C426" s="25"/>
      <c r="D426" s="26"/>
      <c r="E426" s="25"/>
      <c r="F426" s="25"/>
      <c r="G426" s="25"/>
      <c r="I426" s="15" t="str">
        <f t="shared" si="6"/>
        <v/>
      </c>
    </row>
    <row r="427" spans="1:9" x14ac:dyDescent="0.3">
      <c r="A427" s="25"/>
      <c r="B427" s="25"/>
      <c r="C427" s="25"/>
      <c r="D427" s="26"/>
      <c r="E427" s="25"/>
      <c r="F427" s="25"/>
      <c r="G427" s="25"/>
      <c r="I427" s="15" t="str">
        <f t="shared" si="6"/>
        <v/>
      </c>
    </row>
    <row r="428" spans="1:9" x14ac:dyDescent="0.3">
      <c r="A428" s="25"/>
      <c r="B428" s="25"/>
      <c r="C428" s="25"/>
      <c r="D428" s="26"/>
      <c r="E428" s="25"/>
      <c r="F428" s="25"/>
      <c r="G428" s="25"/>
      <c r="I428" s="15" t="str">
        <f t="shared" si="6"/>
        <v/>
      </c>
    </row>
    <row r="429" spans="1:9" x14ac:dyDescent="0.3">
      <c r="A429" s="25"/>
      <c r="B429" s="25"/>
      <c r="C429" s="25"/>
      <c r="D429" s="26"/>
      <c r="E429" s="25"/>
      <c r="F429" s="25"/>
      <c r="G429" s="25"/>
      <c r="I429" s="15" t="str">
        <f t="shared" si="6"/>
        <v/>
      </c>
    </row>
    <row r="430" spans="1:9" x14ac:dyDescent="0.3">
      <c r="A430" s="25"/>
      <c r="B430" s="25"/>
      <c r="C430" s="25"/>
      <c r="D430" s="26"/>
      <c r="E430" s="25"/>
      <c r="F430" s="25"/>
      <c r="G430" s="25"/>
      <c r="I430" s="15" t="str">
        <f t="shared" si="6"/>
        <v/>
      </c>
    </row>
    <row r="431" spans="1:9" x14ac:dyDescent="0.3">
      <c r="A431" s="25"/>
      <c r="B431" s="25"/>
      <c r="C431" s="25"/>
      <c r="D431" s="26"/>
      <c r="E431" s="25"/>
      <c r="F431" s="25"/>
      <c r="G431" s="25"/>
      <c r="I431" s="15" t="str">
        <f t="shared" si="6"/>
        <v/>
      </c>
    </row>
    <row r="432" spans="1:9" x14ac:dyDescent="0.3">
      <c r="A432" s="25"/>
      <c r="B432" s="25"/>
      <c r="C432" s="25"/>
      <c r="D432" s="26"/>
      <c r="E432" s="25"/>
      <c r="F432" s="25"/>
      <c r="G432" s="25"/>
      <c r="I432" s="15" t="str">
        <f t="shared" si="6"/>
        <v/>
      </c>
    </row>
    <row r="433" spans="1:9" x14ac:dyDescent="0.3">
      <c r="A433" s="25"/>
      <c r="B433" s="25"/>
      <c r="C433" s="25"/>
      <c r="D433" s="26"/>
      <c r="E433" s="25"/>
      <c r="F433" s="25"/>
      <c r="G433" s="25"/>
      <c r="I433" s="15" t="str">
        <f t="shared" si="6"/>
        <v/>
      </c>
    </row>
    <row r="434" spans="1:9" x14ac:dyDescent="0.3">
      <c r="A434" s="25"/>
      <c r="B434" s="25"/>
      <c r="C434" s="25"/>
      <c r="D434" s="26"/>
      <c r="E434" s="25"/>
      <c r="F434" s="25"/>
      <c r="G434" s="25"/>
      <c r="I434" s="15" t="str">
        <f t="shared" si="6"/>
        <v/>
      </c>
    </row>
    <row r="435" spans="1:9" x14ac:dyDescent="0.3">
      <c r="A435" s="25"/>
      <c r="B435" s="25"/>
      <c r="C435" s="25"/>
      <c r="D435" s="26"/>
      <c r="E435" s="25"/>
      <c r="F435" s="25"/>
      <c r="G435" s="25"/>
      <c r="I435" s="15" t="str">
        <f t="shared" si="6"/>
        <v/>
      </c>
    </row>
    <row r="436" spans="1:9" x14ac:dyDescent="0.3">
      <c r="A436" s="25"/>
      <c r="B436" s="25"/>
      <c r="C436" s="25"/>
      <c r="D436" s="26"/>
      <c r="E436" s="25"/>
      <c r="F436" s="25"/>
      <c r="G436" s="25"/>
      <c r="I436" s="15" t="str">
        <f t="shared" si="6"/>
        <v/>
      </c>
    </row>
    <row r="437" spans="1:9" x14ac:dyDescent="0.3">
      <c r="A437" s="25"/>
      <c r="B437" s="25"/>
      <c r="C437" s="25"/>
      <c r="D437" s="26"/>
      <c r="E437" s="25"/>
      <c r="F437" s="25"/>
      <c r="G437" s="25"/>
      <c r="I437" s="15" t="str">
        <f t="shared" si="6"/>
        <v/>
      </c>
    </row>
    <row r="438" spans="1:9" x14ac:dyDescent="0.3">
      <c r="A438" s="25"/>
      <c r="B438" s="25"/>
      <c r="C438" s="25"/>
      <c r="D438" s="26"/>
      <c r="E438" s="25"/>
      <c r="F438" s="25"/>
      <c r="G438" s="25"/>
      <c r="I438" s="15" t="str">
        <f t="shared" si="6"/>
        <v/>
      </c>
    </row>
    <row r="439" spans="1:9" x14ac:dyDescent="0.3">
      <c r="A439" s="25"/>
      <c r="B439" s="25"/>
      <c r="C439" s="25"/>
      <c r="D439" s="26"/>
      <c r="E439" s="25"/>
      <c r="F439" s="25"/>
      <c r="G439" s="25"/>
      <c r="I439" s="15" t="str">
        <f t="shared" si="6"/>
        <v/>
      </c>
    </row>
    <row r="440" spans="1:9" x14ac:dyDescent="0.3">
      <c r="A440" s="25"/>
      <c r="B440" s="25"/>
      <c r="C440" s="25"/>
      <c r="D440" s="26"/>
      <c r="E440" s="25"/>
      <c r="F440" s="25"/>
      <c r="G440" s="25"/>
      <c r="I440" s="15" t="str">
        <f t="shared" si="6"/>
        <v/>
      </c>
    </row>
    <row r="441" spans="1:9" x14ac:dyDescent="0.3">
      <c r="A441" s="25"/>
      <c r="B441" s="25"/>
      <c r="C441" s="25"/>
      <c r="D441" s="26"/>
      <c r="E441" s="25"/>
      <c r="F441" s="25"/>
      <c r="G441" s="25"/>
      <c r="I441" s="15" t="str">
        <f t="shared" si="6"/>
        <v/>
      </c>
    </row>
    <row r="442" spans="1:9" x14ac:dyDescent="0.3">
      <c r="A442" s="25"/>
      <c r="B442" s="25"/>
      <c r="C442" s="25"/>
      <c r="D442" s="26"/>
      <c r="E442" s="25"/>
      <c r="F442" s="25"/>
      <c r="G442" s="25"/>
      <c r="I442" s="15" t="str">
        <f t="shared" si="6"/>
        <v/>
      </c>
    </row>
    <row r="443" spans="1:9" x14ac:dyDescent="0.3">
      <c r="A443" s="25"/>
      <c r="B443" s="25"/>
      <c r="C443" s="25"/>
      <c r="D443" s="26"/>
      <c r="E443" s="25"/>
      <c r="F443" s="25"/>
      <c r="G443" s="25"/>
      <c r="I443" s="15" t="str">
        <f t="shared" si="6"/>
        <v/>
      </c>
    </row>
    <row r="444" spans="1:9" x14ac:dyDescent="0.3">
      <c r="A444" s="25"/>
      <c r="B444" s="25"/>
      <c r="C444" s="25"/>
      <c r="D444" s="26"/>
      <c r="E444" s="25"/>
      <c r="F444" s="25"/>
      <c r="G444" s="25"/>
      <c r="I444" s="15" t="str">
        <f t="shared" si="6"/>
        <v/>
      </c>
    </row>
    <row r="445" spans="1:9" x14ac:dyDescent="0.3">
      <c r="A445" s="25"/>
      <c r="B445" s="25"/>
      <c r="C445" s="25"/>
      <c r="D445" s="26"/>
      <c r="E445" s="25"/>
      <c r="F445" s="25"/>
      <c r="G445" s="25"/>
      <c r="I445" s="15" t="str">
        <f t="shared" si="6"/>
        <v/>
      </c>
    </row>
    <row r="446" spans="1:9" x14ac:dyDescent="0.3">
      <c r="A446" s="25"/>
      <c r="B446" s="25"/>
      <c r="C446" s="25"/>
      <c r="D446" s="26"/>
      <c r="E446" s="25"/>
      <c r="F446" s="25"/>
      <c r="G446" s="25"/>
      <c r="I446" s="15" t="str">
        <f t="shared" si="6"/>
        <v/>
      </c>
    </row>
    <row r="447" spans="1:9" x14ac:dyDescent="0.3">
      <c r="A447" s="25"/>
      <c r="B447" s="25"/>
      <c r="C447" s="25"/>
      <c r="D447" s="26"/>
      <c r="E447" s="25"/>
      <c r="F447" s="25"/>
      <c r="G447" s="25"/>
      <c r="I447" s="15" t="str">
        <f t="shared" si="6"/>
        <v/>
      </c>
    </row>
    <row r="448" spans="1:9" x14ac:dyDescent="0.3">
      <c r="A448" s="25"/>
      <c r="B448" s="25"/>
      <c r="C448" s="25"/>
      <c r="D448" s="26"/>
      <c r="E448" s="25"/>
      <c r="F448" s="25"/>
      <c r="G448" s="25"/>
      <c r="I448" s="15" t="str">
        <f t="shared" si="6"/>
        <v/>
      </c>
    </row>
    <row r="449" spans="1:9" x14ac:dyDescent="0.3">
      <c r="A449" s="25"/>
      <c r="B449" s="25"/>
      <c r="C449" s="25"/>
      <c r="D449" s="26"/>
      <c r="E449" s="25"/>
      <c r="F449" s="25"/>
      <c r="G449" s="25"/>
      <c r="I449" s="15" t="str">
        <f t="shared" si="6"/>
        <v/>
      </c>
    </row>
    <row r="450" spans="1:9" x14ac:dyDescent="0.3">
      <c r="A450" s="25"/>
      <c r="B450" s="25"/>
      <c r="C450" s="25"/>
      <c r="D450" s="26"/>
      <c r="E450" s="25"/>
      <c r="F450" s="25"/>
      <c r="G450" s="25"/>
      <c r="I450" s="15" t="str">
        <f t="shared" si="6"/>
        <v/>
      </c>
    </row>
    <row r="451" spans="1:9" x14ac:dyDescent="0.3">
      <c r="A451" s="25"/>
      <c r="B451" s="25"/>
      <c r="C451" s="25"/>
      <c r="D451" s="26"/>
      <c r="E451" s="25"/>
      <c r="F451" s="25"/>
      <c r="G451" s="25"/>
      <c r="I451" s="15" t="str">
        <f t="shared" si="6"/>
        <v/>
      </c>
    </row>
    <row r="452" spans="1:9" x14ac:dyDescent="0.3">
      <c r="A452" s="25"/>
      <c r="B452" s="25"/>
      <c r="C452" s="25"/>
      <c r="D452" s="26"/>
      <c r="E452" s="25"/>
      <c r="F452" s="25"/>
      <c r="G452" s="25"/>
      <c r="I452" s="15" t="str">
        <f t="shared" ref="I452:I500" si="7">IF($A452="","",IF(COUNTIF(DAFTAR_NAMA,$A452)=0,"⚠️ NAMA TIDAK TERDAFTAR","OK"))</f>
        <v/>
      </c>
    </row>
    <row r="453" spans="1:9" x14ac:dyDescent="0.3">
      <c r="A453" s="25"/>
      <c r="B453" s="25"/>
      <c r="C453" s="25"/>
      <c r="D453" s="26"/>
      <c r="E453" s="25"/>
      <c r="F453" s="25"/>
      <c r="G453" s="25"/>
      <c r="I453" s="15" t="str">
        <f t="shared" si="7"/>
        <v/>
      </c>
    </row>
    <row r="454" spans="1:9" x14ac:dyDescent="0.3">
      <c r="A454" s="25"/>
      <c r="B454" s="25"/>
      <c r="C454" s="25"/>
      <c r="D454" s="26"/>
      <c r="E454" s="25"/>
      <c r="F454" s="25"/>
      <c r="G454" s="25"/>
      <c r="I454" s="15" t="str">
        <f t="shared" si="7"/>
        <v/>
      </c>
    </row>
    <row r="455" spans="1:9" x14ac:dyDescent="0.3">
      <c r="A455" s="25"/>
      <c r="B455" s="25"/>
      <c r="C455" s="25"/>
      <c r="D455" s="26"/>
      <c r="E455" s="25"/>
      <c r="F455" s="25"/>
      <c r="G455" s="25"/>
      <c r="I455" s="15" t="str">
        <f t="shared" si="7"/>
        <v/>
      </c>
    </row>
    <row r="456" spans="1:9" x14ac:dyDescent="0.3">
      <c r="A456" s="25"/>
      <c r="B456" s="25"/>
      <c r="C456" s="25"/>
      <c r="D456" s="26"/>
      <c r="E456" s="25"/>
      <c r="F456" s="25"/>
      <c r="G456" s="25"/>
      <c r="I456" s="15" t="str">
        <f t="shared" si="7"/>
        <v/>
      </c>
    </row>
    <row r="457" spans="1:9" x14ac:dyDescent="0.3">
      <c r="A457" s="25"/>
      <c r="B457" s="25"/>
      <c r="C457" s="25"/>
      <c r="D457" s="26"/>
      <c r="E457" s="25"/>
      <c r="F457" s="25"/>
      <c r="G457" s="25"/>
      <c r="I457" s="15" t="str">
        <f t="shared" si="7"/>
        <v/>
      </c>
    </row>
    <row r="458" spans="1:9" x14ac:dyDescent="0.3">
      <c r="A458" s="25"/>
      <c r="B458" s="25"/>
      <c r="C458" s="25"/>
      <c r="D458" s="26"/>
      <c r="E458" s="25"/>
      <c r="F458" s="25"/>
      <c r="G458" s="25"/>
      <c r="I458" s="15" t="str">
        <f t="shared" si="7"/>
        <v/>
      </c>
    </row>
    <row r="459" spans="1:9" x14ac:dyDescent="0.3">
      <c r="A459" s="25"/>
      <c r="B459" s="25"/>
      <c r="C459" s="25"/>
      <c r="D459" s="26"/>
      <c r="E459" s="25"/>
      <c r="F459" s="25"/>
      <c r="G459" s="25"/>
      <c r="I459" s="15" t="str">
        <f t="shared" si="7"/>
        <v/>
      </c>
    </row>
    <row r="460" spans="1:9" x14ac:dyDescent="0.3">
      <c r="A460" s="25"/>
      <c r="B460" s="25"/>
      <c r="C460" s="25"/>
      <c r="D460" s="26"/>
      <c r="E460" s="25"/>
      <c r="F460" s="25"/>
      <c r="G460" s="25"/>
      <c r="I460" s="15" t="str">
        <f t="shared" si="7"/>
        <v/>
      </c>
    </row>
    <row r="461" spans="1:9" x14ac:dyDescent="0.3">
      <c r="A461" s="25"/>
      <c r="B461" s="25"/>
      <c r="C461" s="25"/>
      <c r="D461" s="26"/>
      <c r="E461" s="25"/>
      <c r="F461" s="25"/>
      <c r="G461" s="25"/>
      <c r="I461" s="15" t="str">
        <f t="shared" si="7"/>
        <v/>
      </c>
    </row>
    <row r="462" spans="1:9" x14ac:dyDescent="0.3">
      <c r="A462" s="25"/>
      <c r="B462" s="25"/>
      <c r="C462" s="25"/>
      <c r="D462" s="26"/>
      <c r="E462" s="25"/>
      <c r="F462" s="25"/>
      <c r="G462" s="25"/>
      <c r="I462" s="15" t="str">
        <f t="shared" si="7"/>
        <v/>
      </c>
    </row>
    <row r="463" spans="1:9" x14ac:dyDescent="0.3">
      <c r="A463" s="25"/>
      <c r="B463" s="25"/>
      <c r="C463" s="25"/>
      <c r="D463" s="26"/>
      <c r="E463" s="25"/>
      <c r="F463" s="25"/>
      <c r="G463" s="25"/>
      <c r="I463" s="15" t="str">
        <f t="shared" si="7"/>
        <v/>
      </c>
    </row>
    <row r="464" spans="1:9" x14ac:dyDescent="0.3">
      <c r="A464" s="25"/>
      <c r="B464" s="25"/>
      <c r="C464" s="25"/>
      <c r="D464" s="26"/>
      <c r="E464" s="25"/>
      <c r="F464" s="25"/>
      <c r="G464" s="25"/>
      <c r="I464" s="15" t="str">
        <f t="shared" si="7"/>
        <v/>
      </c>
    </row>
    <row r="465" spans="1:9" x14ac:dyDescent="0.3">
      <c r="A465" s="25"/>
      <c r="B465" s="25"/>
      <c r="C465" s="25"/>
      <c r="D465" s="26"/>
      <c r="E465" s="25"/>
      <c r="F465" s="25"/>
      <c r="G465" s="25"/>
      <c r="I465" s="15" t="str">
        <f t="shared" si="7"/>
        <v/>
      </c>
    </row>
    <row r="466" spans="1:9" x14ac:dyDescent="0.3">
      <c r="A466" s="25"/>
      <c r="B466" s="25"/>
      <c r="C466" s="25"/>
      <c r="D466" s="26"/>
      <c r="E466" s="25"/>
      <c r="F466" s="25"/>
      <c r="G466" s="25"/>
      <c r="I466" s="15" t="str">
        <f t="shared" si="7"/>
        <v/>
      </c>
    </row>
    <row r="467" spans="1:9" x14ac:dyDescent="0.3">
      <c r="A467" s="25"/>
      <c r="B467" s="25"/>
      <c r="C467" s="25"/>
      <c r="D467" s="26"/>
      <c r="E467" s="25"/>
      <c r="F467" s="25"/>
      <c r="G467" s="25"/>
      <c r="I467" s="15" t="str">
        <f t="shared" si="7"/>
        <v/>
      </c>
    </row>
    <row r="468" spans="1:9" x14ac:dyDescent="0.3">
      <c r="A468" s="25"/>
      <c r="B468" s="25"/>
      <c r="C468" s="25"/>
      <c r="D468" s="26"/>
      <c r="E468" s="25"/>
      <c r="F468" s="25"/>
      <c r="G468" s="25"/>
      <c r="I468" s="15" t="str">
        <f t="shared" si="7"/>
        <v/>
      </c>
    </row>
    <row r="469" spans="1:9" x14ac:dyDescent="0.3">
      <c r="A469" s="25"/>
      <c r="B469" s="25"/>
      <c r="C469" s="25"/>
      <c r="D469" s="26"/>
      <c r="E469" s="25"/>
      <c r="F469" s="25"/>
      <c r="G469" s="25"/>
      <c r="I469" s="15" t="str">
        <f t="shared" si="7"/>
        <v/>
      </c>
    </row>
    <row r="470" spans="1:9" x14ac:dyDescent="0.3">
      <c r="A470" s="25"/>
      <c r="B470" s="25"/>
      <c r="C470" s="25"/>
      <c r="D470" s="26"/>
      <c r="E470" s="25"/>
      <c r="F470" s="25"/>
      <c r="G470" s="25"/>
      <c r="I470" s="15" t="str">
        <f t="shared" si="7"/>
        <v/>
      </c>
    </row>
    <row r="471" spans="1:9" x14ac:dyDescent="0.3">
      <c r="A471" s="25"/>
      <c r="B471" s="25"/>
      <c r="C471" s="25"/>
      <c r="D471" s="26"/>
      <c r="E471" s="25"/>
      <c r="F471" s="25"/>
      <c r="G471" s="25"/>
      <c r="I471" s="15" t="str">
        <f t="shared" si="7"/>
        <v/>
      </c>
    </row>
    <row r="472" spans="1:9" x14ac:dyDescent="0.3">
      <c r="A472" s="25"/>
      <c r="B472" s="25"/>
      <c r="C472" s="25"/>
      <c r="D472" s="26"/>
      <c r="E472" s="25"/>
      <c r="F472" s="25"/>
      <c r="G472" s="25"/>
      <c r="I472" s="15" t="str">
        <f t="shared" si="7"/>
        <v/>
      </c>
    </row>
    <row r="473" spans="1:9" x14ac:dyDescent="0.3">
      <c r="A473" s="25"/>
      <c r="B473" s="25"/>
      <c r="C473" s="25"/>
      <c r="D473" s="26"/>
      <c r="E473" s="25"/>
      <c r="F473" s="25"/>
      <c r="G473" s="25"/>
      <c r="I473" s="15" t="str">
        <f t="shared" si="7"/>
        <v/>
      </c>
    </row>
    <row r="474" spans="1:9" x14ac:dyDescent="0.3">
      <c r="A474" s="25"/>
      <c r="B474" s="25"/>
      <c r="C474" s="25"/>
      <c r="D474" s="26"/>
      <c r="E474" s="25"/>
      <c r="F474" s="25"/>
      <c r="G474" s="25"/>
      <c r="I474" s="15" t="str">
        <f t="shared" si="7"/>
        <v/>
      </c>
    </row>
    <row r="475" spans="1:9" x14ac:dyDescent="0.3">
      <c r="A475" s="25"/>
      <c r="B475" s="25"/>
      <c r="C475" s="25"/>
      <c r="D475" s="26"/>
      <c r="E475" s="25"/>
      <c r="F475" s="25"/>
      <c r="G475" s="25"/>
      <c r="I475" s="15" t="str">
        <f t="shared" si="7"/>
        <v/>
      </c>
    </row>
    <row r="476" spans="1:9" x14ac:dyDescent="0.3">
      <c r="A476" s="25"/>
      <c r="B476" s="25"/>
      <c r="C476" s="25"/>
      <c r="D476" s="26"/>
      <c r="E476" s="25"/>
      <c r="F476" s="25"/>
      <c r="G476" s="25"/>
      <c r="I476" s="15" t="str">
        <f t="shared" si="7"/>
        <v/>
      </c>
    </row>
    <row r="477" spans="1:9" x14ac:dyDescent="0.3">
      <c r="A477" s="25"/>
      <c r="B477" s="25"/>
      <c r="C477" s="25"/>
      <c r="D477" s="26"/>
      <c r="E477" s="25"/>
      <c r="F477" s="25"/>
      <c r="G477" s="25"/>
      <c r="I477" s="15" t="str">
        <f t="shared" si="7"/>
        <v/>
      </c>
    </row>
    <row r="478" spans="1:9" x14ac:dyDescent="0.3">
      <c r="A478" s="25"/>
      <c r="B478" s="25"/>
      <c r="C478" s="25"/>
      <c r="D478" s="26"/>
      <c r="E478" s="25"/>
      <c r="F478" s="25"/>
      <c r="G478" s="25"/>
      <c r="I478" s="15" t="str">
        <f t="shared" si="7"/>
        <v/>
      </c>
    </row>
    <row r="479" spans="1:9" x14ac:dyDescent="0.3">
      <c r="A479" s="25"/>
      <c r="B479" s="25"/>
      <c r="C479" s="25"/>
      <c r="D479" s="26"/>
      <c r="E479" s="25"/>
      <c r="F479" s="25"/>
      <c r="G479" s="25"/>
      <c r="I479" s="15" t="str">
        <f t="shared" si="7"/>
        <v/>
      </c>
    </row>
    <row r="480" spans="1:9" x14ac:dyDescent="0.3">
      <c r="A480" s="25"/>
      <c r="B480" s="25"/>
      <c r="C480" s="25"/>
      <c r="D480" s="26"/>
      <c r="E480" s="25"/>
      <c r="F480" s="25"/>
      <c r="G480" s="25"/>
      <c r="I480" s="15" t="str">
        <f t="shared" si="7"/>
        <v/>
      </c>
    </row>
    <row r="481" spans="1:9" x14ac:dyDescent="0.3">
      <c r="A481" s="25"/>
      <c r="B481" s="25"/>
      <c r="C481" s="25"/>
      <c r="D481" s="26"/>
      <c r="E481" s="25"/>
      <c r="F481" s="25"/>
      <c r="G481" s="25"/>
      <c r="I481" s="15" t="str">
        <f t="shared" si="7"/>
        <v/>
      </c>
    </row>
    <row r="482" spans="1:9" x14ac:dyDescent="0.3">
      <c r="A482" s="25"/>
      <c r="B482" s="25"/>
      <c r="C482" s="25"/>
      <c r="D482" s="26"/>
      <c r="E482" s="25"/>
      <c r="F482" s="25"/>
      <c r="G482" s="25"/>
      <c r="I482" s="15" t="str">
        <f t="shared" si="7"/>
        <v/>
      </c>
    </row>
    <row r="483" spans="1:9" x14ac:dyDescent="0.3">
      <c r="A483" s="25"/>
      <c r="B483" s="25"/>
      <c r="C483" s="25"/>
      <c r="D483" s="26"/>
      <c r="E483" s="25"/>
      <c r="F483" s="25"/>
      <c r="G483" s="25"/>
      <c r="I483" s="15" t="str">
        <f t="shared" si="7"/>
        <v/>
      </c>
    </row>
    <row r="484" spans="1:9" x14ac:dyDescent="0.3">
      <c r="A484" s="25"/>
      <c r="B484" s="25"/>
      <c r="C484" s="25"/>
      <c r="D484" s="26"/>
      <c r="E484" s="25"/>
      <c r="F484" s="25"/>
      <c r="G484" s="25"/>
      <c r="I484" s="15" t="str">
        <f t="shared" si="7"/>
        <v/>
      </c>
    </row>
    <row r="485" spans="1:9" x14ac:dyDescent="0.3">
      <c r="A485" s="25"/>
      <c r="B485" s="25"/>
      <c r="C485" s="25"/>
      <c r="D485" s="26"/>
      <c r="E485" s="25"/>
      <c r="F485" s="25"/>
      <c r="G485" s="25"/>
      <c r="I485" s="15" t="str">
        <f t="shared" si="7"/>
        <v/>
      </c>
    </row>
    <row r="486" spans="1:9" x14ac:dyDescent="0.3">
      <c r="A486" s="25"/>
      <c r="B486" s="25"/>
      <c r="C486" s="25"/>
      <c r="D486" s="26"/>
      <c r="E486" s="25"/>
      <c r="F486" s="25"/>
      <c r="G486" s="25"/>
      <c r="I486" s="15" t="str">
        <f t="shared" si="7"/>
        <v/>
      </c>
    </row>
    <row r="487" spans="1:9" x14ac:dyDescent="0.3">
      <c r="A487" s="25"/>
      <c r="B487" s="25"/>
      <c r="C487" s="25"/>
      <c r="D487" s="26"/>
      <c r="E487" s="25"/>
      <c r="F487" s="25"/>
      <c r="G487" s="25"/>
      <c r="I487" s="15" t="str">
        <f t="shared" si="7"/>
        <v/>
      </c>
    </row>
    <row r="488" spans="1:9" x14ac:dyDescent="0.3">
      <c r="A488" s="25"/>
      <c r="B488" s="25"/>
      <c r="C488" s="25"/>
      <c r="D488" s="26"/>
      <c r="E488" s="25"/>
      <c r="F488" s="25"/>
      <c r="G488" s="25"/>
      <c r="I488" s="15" t="str">
        <f t="shared" si="7"/>
        <v/>
      </c>
    </row>
    <row r="489" spans="1:9" x14ac:dyDescent="0.3">
      <c r="A489" s="25"/>
      <c r="B489" s="25"/>
      <c r="C489" s="25"/>
      <c r="D489" s="26"/>
      <c r="E489" s="25"/>
      <c r="F489" s="25"/>
      <c r="G489" s="25"/>
      <c r="I489" s="15" t="str">
        <f t="shared" si="7"/>
        <v/>
      </c>
    </row>
    <row r="490" spans="1:9" x14ac:dyDescent="0.3">
      <c r="A490" s="25"/>
      <c r="B490" s="25"/>
      <c r="C490" s="25"/>
      <c r="D490" s="26"/>
      <c r="E490" s="25"/>
      <c r="F490" s="25"/>
      <c r="G490" s="25"/>
      <c r="I490" s="15" t="str">
        <f t="shared" si="7"/>
        <v/>
      </c>
    </row>
    <row r="491" spans="1:9" x14ac:dyDescent="0.3">
      <c r="A491" s="25"/>
      <c r="B491" s="25"/>
      <c r="C491" s="25"/>
      <c r="D491" s="26"/>
      <c r="E491" s="25"/>
      <c r="F491" s="25"/>
      <c r="G491" s="25"/>
      <c r="I491" s="15" t="str">
        <f t="shared" si="7"/>
        <v/>
      </c>
    </row>
    <row r="492" spans="1:9" x14ac:dyDescent="0.3">
      <c r="A492" s="25"/>
      <c r="B492" s="25"/>
      <c r="C492" s="25"/>
      <c r="D492" s="26"/>
      <c r="E492" s="25"/>
      <c r="F492" s="25"/>
      <c r="G492" s="25"/>
      <c r="I492" s="15" t="str">
        <f t="shared" si="7"/>
        <v/>
      </c>
    </row>
    <row r="493" spans="1:9" x14ac:dyDescent="0.3">
      <c r="A493" s="25"/>
      <c r="B493" s="25"/>
      <c r="C493" s="25"/>
      <c r="D493" s="26"/>
      <c r="E493" s="25"/>
      <c r="F493" s="25"/>
      <c r="G493" s="25"/>
      <c r="I493" s="15" t="str">
        <f t="shared" si="7"/>
        <v/>
      </c>
    </row>
    <row r="494" spans="1:9" x14ac:dyDescent="0.3">
      <c r="A494" s="25"/>
      <c r="B494" s="25"/>
      <c r="C494" s="25"/>
      <c r="D494" s="26"/>
      <c r="E494" s="25"/>
      <c r="F494" s="25"/>
      <c r="G494" s="25"/>
      <c r="I494" s="15" t="str">
        <f t="shared" si="7"/>
        <v/>
      </c>
    </row>
    <row r="495" spans="1:9" x14ac:dyDescent="0.3">
      <c r="A495" s="25"/>
      <c r="B495" s="25"/>
      <c r="C495" s="25"/>
      <c r="D495" s="26"/>
      <c r="E495" s="25"/>
      <c r="F495" s="25"/>
      <c r="G495" s="25"/>
      <c r="I495" s="15" t="str">
        <f t="shared" si="7"/>
        <v/>
      </c>
    </row>
    <row r="496" spans="1:9" x14ac:dyDescent="0.3">
      <c r="A496" s="25"/>
      <c r="B496" s="25"/>
      <c r="C496" s="25"/>
      <c r="D496" s="26"/>
      <c r="E496" s="25"/>
      <c r="F496" s="25"/>
      <c r="G496" s="25"/>
      <c r="I496" s="15" t="str">
        <f t="shared" si="7"/>
        <v/>
      </c>
    </row>
    <row r="497" spans="1:9" x14ac:dyDescent="0.3">
      <c r="A497" s="25"/>
      <c r="B497" s="25"/>
      <c r="C497" s="25"/>
      <c r="D497" s="26"/>
      <c r="E497" s="25"/>
      <c r="F497" s="25"/>
      <c r="G497" s="25"/>
      <c r="I497" s="15" t="str">
        <f t="shared" si="7"/>
        <v/>
      </c>
    </row>
    <row r="498" spans="1:9" x14ac:dyDescent="0.3">
      <c r="A498" s="25"/>
      <c r="B498" s="25"/>
      <c r="C498" s="25"/>
      <c r="D498" s="26"/>
      <c r="E498" s="25"/>
      <c r="F498" s="25"/>
      <c r="G498" s="25"/>
      <c r="I498" s="15" t="str">
        <f t="shared" si="7"/>
        <v/>
      </c>
    </row>
    <row r="499" spans="1:9" x14ac:dyDescent="0.3">
      <c r="A499" s="25"/>
      <c r="B499" s="25"/>
      <c r="C499" s="25"/>
      <c r="D499" s="26"/>
      <c r="E499" s="25"/>
      <c r="F499" s="25"/>
      <c r="G499" s="25"/>
      <c r="I499" s="15" t="str">
        <f t="shared" si="7"/>
        <v/>
      </c>
    </row>
    <row r="500" spans="1:9" x14ac:dyDescent="0.3">
      <c r="A500" s="25"/>
      <c r="B500" s="25"/>
      <c r="C500" s="25"/>
      <c r="D500" s="26"/>
      <c r="E500" s="25"/>
      <c r="F500" s="25"/>
      <c r="G500" s="25"/>
      <c r="I500" s="15" t="str">
        <f t="shared" si="7"/>
        <v/>
      </c>
    </row>
  </sheetData>
  <autoFilter ref="A3:G500" xr:uid="{00000000-0009-0000-0000-000004000000}"/>
  <mergeCells count="1">
    <mergeCell ref="A1:G1"/>
  </mergeCells>
  <dataValidations count="4">
    <dataValidation type="list" allowBlank="1" sqref="A4:A500" xr:uid="{00000000-0002-0000-0400-000000000000}">
      <formula1>DAFTAR_NAMA</formula1>
      <formula2>0</formula2>
    </dataValidation>
    <dataValidation type="list" allowBlank="1" sqref="B4:B500" xr:uid="{00000000-0002-0000-0400-000001000000}">
      <formula1>"September,Oktober,November,Desember,Januari,Februari,Maret,April,Mei,Juni"</formula1>
      <formula2>0</formula2>
    </dataValidation>
    <dataValidation type="list" allowBlank="1" sqref="C4:C500" xr:uid="{00000000-0002-0000-0400-000002000000}">
      <formula1>"Minggu 1,Minggu 2,Minggu 3,Minggu 4,Minggu 5"</formula1>
      <formula2>0</formula2>
    </dataValidation>
    <dataValidation type="list" allowBlank="1" sqref="F4:F500" xr:uid="{00000000-0002-0000-0400-000003000000}">
      <formula1>"Tunai,Transfer,E-wallet,Lainnya"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144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4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IF(1&lt;=$D$2,SUMIFS(PEMBAYARAN!$E$4:$E$500,PEMBAYARAN!$A$4:$A$500,$B5,PEMBAYARAN!$B$4:$B$500,"September",PEMBAYARAN!$C$4:$C$500,"Minggu 1"),"")</f>
        <v>5000</v>
      </c>
      <c r="D5" s="23">
        <f>IF(2&lt;=$D$2,SUMIFS(PEMBAYARAN!$E$4:$E$500,PEMBAYARAN!$A$4:$A$500,$B5,PEMBAYARAN!$B$4:$B$500,"September",PEMBAYARAN!$C$4:$C$500,"Minggu 2"),"")</f>
        <v>3000</v>
      </c>
      <c r="E5" s="23">
        <f>IF(3&lt;=$D$2,SUMIFS(PEMBAYARAN!$E$4:$E$500,PEMBAYARAN!$A$4:$A$500,$B5,PEMBAYARAN!$B$4:$B$500,"September",PEMBAYARAN!$C$4:$C$500,"Minggu 3"),"")</f>
        <v>0</v>
      </c>
      <c r="F5" s="23">
        <f>IF(4&lt;=$D$2,SUMIFS(PEMBAYARAN!$E$4:$E$500,PEMBAYARAN!$A$4:$A$500,$B5,PEMBAYARAN!$B$4:$B$500,"September",PEMBAYARAN!$C$4:$C$500,"Minggu 4"),"")</f>
        <v>0</v>
      </c>
      <c r="G5" s="23" t="str">
        <f>IF(5&lt;=$D$2,SUMIFS(PEMBAYARAN!$E$4:$E$500,PEMBAYARAN!$A$4:$A$500,$B5,PEMBAYARAN!$B$4:$B$500,"September",PEMBAYARAN!$C$4:$C$500,"Minggu 5"),"")</f>
        <v/>
      </c>
      <c r="H5" s="23">
        <f t="shared" ref="H5:H45" si="0">MIN($D$2,5)*$F$2</f>
        <v>20000</v>
      </c>
      <c r="I5" s="23">
        <f t="shared" ref="I5:I45" si="1">SUM(C5:G5)</f>
        <v>8000</v>
      </c>
      <c r="J5" s="23">
        <f t="shared" ref="J5:J45" si="2">MAX(H5-I5,0)</f>
        <v>12000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CICILAN</v>
      </c>
      <c r="M5" s="29" t="str">
        <f t="shared" ref="M5:M45" si="5">IF(C5="","-",IF(C5=0,"BELUM BAYAR",IF(C5&lt;$F$2,"CICILAN",IF(C5&gt;$F$2,"LUNAS (LEBIH)","LUNAS"))))</f>
        <v>LUNAS</v>
      </c>
      <c r="N5" s="29" t="str">
        <f t="shared" ref="N5:N45" si="6">IF(D5="","-",IF(D5=0,"BELUM BAYAR",IF(D5&lt;$F$2,"CICILAN",IF(D5&gt;$F$2,"LUNAS (LEBIH)","LUNAS"))))</f>
        <v>CICILAN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-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IF(1&lt;=$D$2,SUMIFS(PEMBAYARAN!$E$4:$E$500,PEMBAYARAN!$A$4:$A$500,$B6,PEMBAYARAN!$B$4:$B$500,"September",PEMBAYARAN!$C$4:$C$500,"Minggu 1"),"")</f>
        <v>5000</v>
      </c>
      <c r="D6" s="23">
        <f>IF(2&lt;=$D$2,SUMIFS(PEMBAYARAN!$E$4:$E$500,PEMBAYARAN!$A$4:$A$500,$B6,PEMBAYARAN!$B$4:$B$500,"September",PEMBAYARAN!$C$4:$C$500,"Minggu 2"),"")</f>
        <v>5000</v>
      </c>
      <c r="E6" s="23">
        <f>IF(3&lt;=$D$2,SUMIFS(PEMBAYARAN!$E$4:$E$500,PEMBAYARAN!$A$4:$A$500,$B6,PEMBAYARAN!$B$4:$B$500,"September",PEMBAYARAN!$C$4:$C$500,"Minggu 3"),"")</f>
        <v>0</v>
      </c>
      <c r="F6" s="23">
        <f>IF(4&lt;=$D$2,SUMIFS(PEMBAYARAN!$E$4:$E$500,PEMBAYARAN!$A$4:$A$500,$B6,PEMBAYARAN!$B$4:$B$500,"September",PEMBAYARAN!$C$4:$C$500,"Minggu 4"),"")</f>
        <v>0</v>
      </c>
      <c r="G6" s="23" t="str">
        <f>IF(5&lt;=$D$2,SUMIFS(PEMBAYARAN!$E$4:$E$500,PEMBAYARAN!$A$4:$A$500,$B6,PEMBAYARAN!$B$4:$B$500,"September",PEMBAYARAN!$C$4:$C$500,"Minggu 5"),"")</f>
        <v/>
      </c>
      <c r="H6" s="23">
        <f t="shared" si="0"/>
        <v>20000</v>
      </c>
      <c r="I6" s="23">
        <f t="shared" si="1"/>
        <v>10000</v>
      </c>
      <c r="J6" s="23">
        <f t="shared" si="2"/>
        <v>10000</v>
      </c>
      <c r="K6" s="23">
        <f t="shared" si="3"/>
        <v>0</v>
      </c>
      <c r="L6" s="29" t="str">
        <f t="shared" si="4"/>
        <v>CICILAN</v>
      </c>
      <c r="M6" s="29" t="str">
        <f t="shared" si="5"/>
        <v>LUNAS</v>
      </c>
      <c r="N6" s="29" t="str">
        <f t="shared" si="6"/>
        <v>LUNAS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-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IF(1&lt;=$D$2,SUMIFS(PEMBAYARAN!$E$4:$E$500,PEMBAYARAN!$A$4:$A$500,$B7,PEMBAYARAN!$B$4:$B$500,"September",PEMBAYARAN!$C$4:$C$500,"Minggu 1"),"")</f>
        <v>0</v>
      </c>
      <c r="D7" s="23">
        <f>IF(2&lt;=$D$2,SUMIFS(PEMBAYARAN!$E$4:$E$500,PEMBAYARAN!$A$4:$A$500,$B7,PEMBAYARAN!$B$4:$B$500,"September",PEMBAYARAN!$C$4:$C$500,"Minggu 2"),"")</f>
        <v>0</v>
      </c>
      <c r="E7" s="23">
        <f>IF(3&lt;=$D$2,SUMIFS(PEMBAYARAN!$E$4:$E$500,PEMBAYARAN!$A$4:$A$500,$B7,PEMBAYARAN!$B$4:$B$500,"September",PEMBAYARAN!$C$4:$C$500,"Minggu 3"),"")</f>
        <v>0</v>
      </c>
      <c r="F7" s="23">
        <f>IF(4&lt;=$D$2,SUMIFS(PEMBAYARAN!$E$4:$E$500,PEMBAYARAN!$A$4:$A$500,$B7,PEMBAYARAN!$B$4:$B$500,"September",PEMBAYARAN!$C$4:$C$500,"Minggu 4"),"")</f>
        <v>0</v>
      </c>
      <c r="G7" s="23" t="str">
        <f>IF(5&lt;=$D$2,SUMIFS(PEMBAYARAN!$E$4:$E$500,PEMBAYARAN!$A$4:$A$500,$B7,PEMBAYARAN!$B$4:$B$500,"September",PEMBAYARAN!$C$4:$C$500,"Minggu 5"),"")</f>
        <v/>
      </c>
      <c r="H7" s="23">
        <f t="shared" si="0"/>
        <v>20000</v>
      </c>
      <c r="I7" s="23">
        <f t="shared" si="1"/>
        <v>0</v>
      </c>
      <c r="J7" s="23">
        <f t="shared" si="2"/>
        <v>20000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-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IF(1&lt;=$D$2,SUMIFS(PEMBAYARAN!$E$4:$E$500,PEMBAYARAN!$A$4:$A$500,$B8,PEMBAYARAN!$B$4:$B$500,"September",PEMBAYARAN!$C$4:$C$500,"Minggu 1"),"")</f>
        <v>7000</v>
      </c>
      <c r="D8" s="23">
        <f>IF(2&lt;=$D$2,SUMIFS(PEMBAYARAN!$E$4:$E$500,PEMBAYARAN!$A$4:$A$500,$B8,PEMBAYARAN!$B$4:$B$500,"September",PEMBAYARAN!$C$4:$C$500,"Minggu 2"),"")</f>
        <v>0</v>
      </c>
      <c r="E8" s="23">
        <f>IF(3&lt;=$D$2,SUMIFS(PEMBAYARAN!$E$4:$E$500,PEMBAYARAN!$A$4:$A$500,$B8,PEMBAYARAN!$B$4:$B$500,"September",PEMBAYARAN!$C$4:$C$500,"Minggu 3"),"")</f>
        <v>0</v>
      </c>
      <c r="F8" s="23">
        <f>IF(4&lt;=$D$2,SUMIFS(PEMBAYARAN!$E$4:$E$500,PEMBAYARAN!$A$4:$A$500,$B8,PEMBAYARAN!$B$4:$B$500,"September",PEMBAYARAN!$C$4:$C$500,"Minggu 4"),"")</f>
        <v>0</v>
      </c>
      <c r="G8" s="23" t="str">
        <f>IF(5&lt;=$D$2,SUMIFS(PEMBAYARAN!$E$4:$E$500,PEMBAYARAN!$A$4:$A$500,$B8,PEMBAYARAN!$B$4:$B$500,"September",PEMBAYARAN!$C$4:$C$500,"Minggu 5"),"")</f>
        <v/>
      </c>
      <c r="H8" s="23">
        <f t="shared" si="0"/>
        <v>20000</v>
      </c>
      <c r="I8" s="23">
        <f t="shared" si="1"/>
        <v>7000</v>
      </c>
      <c r="J8" s="23">
        <f t="shared" si="2"/>
        <v>13000</v>
      </c>
      <c r="K8" s="23">
        <f t="shared" si="3"/>
        <v>0</v>
      </c>
      <c r="L8" s="29" t="str">
        <f t="shared" si="4"/>
        <v>CICILAN</v>
      </c>
      <c r="M8" s="29" t="str">
        <f t="shared" si="5"/>
        <v>LUNAS (LEBIH)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-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IF(1&lt;=$D$2,SUMIFS(PEMBAYARAN!$E$4:$E$500,PEMBAYARAN!$A$4:$A$500,$B9,PEMBAYARAN!$B$4:$B$500,"September",PEMBAYARAN!$C$4:$C$500,"Minggu 1"),"")</f>
        <v>0</v>
      </c>
      <c r="D9" s="23">
        <f>IF(2&lt;=$D$2,SUMIFS(PEMBAYARAN!$E$4:$E$500,PEMBAYARAN!$A$4:$A$500,$B9,PEMBAYARAN!$B$4:$B$500,"September",PEMBAYARAN!$C$4:$C$500,"Minggu 2"),"")</f>
        <v>0</v>
      </c>
      <c r="E9" s="23">
        <f>IF(3&lt;=$D$2,SUMIFS(PEMBAYARAN!$E$4:$E$500,PEMBAYARAN!$A$4:$A$500,$B9,PEMBAYARAN!$B$4:$B$500,"September",PEMBAYARAN!$C$4:$C$500,"Minggu 3"),"")</f>
        <v>0</v>
      </c>
      <c r="F9" s="23">
        <f>IF(4&lt;=$D$2,SUMIFS(PEMBAYARAN!$E$4:$E$500,PEMBAYARAN!$A$4:$A$500,$B9,PEMBAYARAN!$B$4:$B$500,"September",PEMBAYARAN!$C$4:$C$500,"Minggu 4"),"")</f>
        <v>0</v>
      </c>
      <c r="G9" s="23" t="str">
        <f>IF(5&lt;=$D$2,SUMIFS(PEMBAYARAN!$E$4:$E$500,PEMBAYARAN!$A$4:$A$500,$B9,PEMBAYARAN!$B$4:$B$500,"September",PEMBAYARAN!$C$4:$C$500,"Minggu 5"),"")</f>
        <v/>
      </c>
      <c r="H9" s="23">
        <f t="shared" si="0"/>
        <v>20000</v>
      </c>
      <c r="I9" s="23">
        <f t="shared" si="1"/>
        <v>0</v>
      </c>
      <c r="J9" s="23">
        <f t="shared" si="2"/>
        <v>20000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-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IF(1&lt;=$D$2,SUMIFS(PEMBAYARAN!$E$4:$E$500,PEMBAYARAN!$A$4:$A$500,$B10,PEMBAYARAN!$B$4:$B$500,"September",PEMBAYARAN!$C$4:$C$500,"Minggu 1"),"")</f>
        <v>0</v>
      </c>
      <c r="D10" s="23">
        <f>IF(2&lt;=$D$2,SUMIFS(PEMBAYARAN!$E$4:$E$500,PEMBAYARAN!$A$4:$A$500,$B10,PEMBAYARAN!$B$4:$B$500,"September",PEMBAYARAN!$C$4:$C$500,"Minggu 2"),"")</f>
        <v>0</v>
      </c>
      <c r="E10" s="23">
        <f>IF(3&lt;=$D$2,SUMIFS(PEMBAYARAN!$E$4:$E$500,PEMBAYARAN!$A$4:$A$500,$B10,PEMBAYARAN!$B$4:$B$500,"September",PEMBAYARAN!$C$4:$C$500,"Minggu 3"),"")</f>
        <v>0</v>
      </c>
      <c r="F10" s="23">
        <f>IF(4&lt;=$D$2,SUMIFS(PEMBAYARAN!$E$4:$E$500,PEMBAYARAN!$A$4:$A$500,$B10,PEMBAYARAN!$B$4:$B$500,"September",PEMBAYARAN!$C$4:$C$500,"Minggu 4"),"")</f>
        <v>0</v>
      </c>
      <c r="G10" s="23" t="str">
        <f>IF(5&lt;=$D$2,SUMIFS(PEMBAYARAN!$E$4:$E$500,PEMBAYARAN!$A$4:$A$500,$B10,PEMBAYARAN!$B$4:$B$500,"September",PEMBAYARAN!$C$4:$C$500,"Minggu 5"),"")</f>
        <v/>
      </c>
      <c r="H10" s="23">
        <f t="shared" si="0"/>
        <v>20000</v>
      </c>
      <c r="I10" s="23">
        <f t="shared" si="1"/>
        <v>0</v>
      </c>
      <c r="J10" s="23">
        <f t="shared" si="2"/>
        <v>20000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-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IF(1&lt;=$D$2,SUMIFS(PEMBAYARAN!$E$4:$E$500,PEMBAYARAN!$A$4:$A$500,$B11,PEMBAYARAN!$B$4:$B$500,"September",PEMBAYARAN!$C$4:$C$500,"Minggu 1"),"")</f>
        <v>0</v>
      </c>
      <c r="D11" s="23">
        <f>IF(2&lt;=$D$2,SUMIFS(PEMBAYARAN!$E$4:$E$500,PEMBAYARAN!$A$4:$A$500,$B11,PEMBAYARAN!$B$4:$B$500,"September",PEMBAYARAN!$C$4:$C$500,"Minggu 2"),"")</f>
        <v>0</v>
      </c>
      <c r="E11" s="23">
        <f>IF(3&lt;=$D$2,SUMIFS(PEMBAYARAN!$E$4:$E$500,PEMBAYARAN!$A$4:$A$500,$B11,PEMBAYARAN!$B$4:$B$500,"September",PEMBAYARAN!$C$4:$C$500,"Minggu 3"),"")</f>
        <v>0</v>
      </c>
      <c r="F11" s="23">
        <f>IF(4&lt;=$D$2,SUMIFS(PEMBAYARAN!$E$4:$E$500,PEMBAYARAN!$A$4:$A$500,$B11,PEMBAYARAN!$B$4:$B$500,"September",PEMBAYARAN!$C$4:$C$500,"Minggu 4"),"")</f>
        <v>0</v>
      </c>
      <c r="G11" s="23" t="str">
        <f>IF(5&lt;=$D$2,SUMIFS(PEMBAYARAN!$E$4:$E$500,PEMBAYARAN!$A$4:$A$500,$B11,PEMBAYARAN!$B$4:$B$500,"September",PEMBAYARAN!$C$4:$C$500,"Minggu 5"),"")</f>
        <v/>
      </c>
      <c r="H11" s="23">
        <f t="shared" si="0"/>
        <v>20000</v>
      </c>
      <c r="I11" s="23">
        <f t="shared" si="1"/>
        <v>0</v>
      </c>
      <c r="J11" s="23">
        <f t="shared" si="2"/>
        <v>20000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-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IF(1&lt;=$D$2,SUMIFS(PEMBAYARAN!$E$4:$E$500,PEMBAYARAN!$A$4:$A$500,$B12,PEMBAYARAN!$B$4:$B$500,"September",PEMBAYARAN!$C$4:$C$500,"Minggu 1"),"")</f>
        <v>0</v>
      </c>
      <c r="D12" s="23">
        <f>IF(2&lt;=$D$2,SUMIFS(PEMBAYARAN!$E$4:$E$500,PEMBAYARAN!$A$4:$A$500,$B12,PEMBAYARAN!$B$4:$B$500,"September",PEMBAYARAN!$C$4:$C$500,"Minggu 2"),"")</f>
        <v>0</v>
      </c>
      <c r="E12" s="23">
        <f>IF(3&lt;=$D$2,SUMIFS(PEMBAYARAN!$E$4:$E$500,PEMBAYARAN!$A$4:$A$500,$B12,PEMBAYARAN!$B$4:$B$500,"September",PEMBAYARAN!$C$4:$C$500,"Minggu 3"),"")</f>
        <v>0</v>
      </c>
      <c r="F12" s="23">
        <f>IF(4&lt;=$D$2,SUMIFS(PEMBAYARAN!$E$4:$E$500,PEMBAYARAN!$A$4:$A$500,$B12,PEMBAYARAN!$B$4:$B$500,"September",PEMBAYARAN!$C$4:$C$500,"Minggu 4"),"")</f>
        <v>0</v>
      </c>
      <c r="G12" s="23" t="str">
        <f>IF(5&lt;=$D$2,SUMIFS(PEMBAYARAN!$E$4:$E$500,PEMBAYARAN!$A$4:$A$500,$B12,PEMBAYARAN!$B$4:$B$500,"September",PEMBAYARAN!$C$4:$C$500,"Minggu 5"),"")</f>
        <v/>
      </c>
      <c r="H12" s="23">
        <f t="shared" si="0"/>
        <v>20000</v>
      </c>
      <c r="I12" s="23">
        <f t="shared" si="1"/>
        <v>0</v>
      </c>
      <c r="J12" s="23">
        <f t="shared" si="2"/>
        <v>20000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-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IF(1&lt;=$D$2,SUMIFS(PEMBAYARAN!$E$4:$E$500,PEMBAYARAN!$A$4:$A$500,$B13,PEMBAYARAN!$B$4:$B$500,"September",PEMBAYARAN!$C$4:$C$500,"Minggu 1"),"")</f>
        <v>0</v>
      </c>
      <c r="D13" s="23">
        <f>IF(2&lt;=$D$2,SUMIFS(PEMBAYARAN!$E$4:$E$500,PEMBAYARAN!$A$4:$A$500,$B13,PEMBAYARAN!$B$4:$B$500,"September",PEMBAYARAN!$C$4:$C$500,"Minggu 2"),"")</f>
        <v>0</v>
      </c>
      <c r="E13" s="23">
        <f>IF(3&lt;=$D$2,SUMIFS(PEMBAYARAN!$E$4:$E$500,PEMBAYARAN!$A$4:$A$500,$B13,PEMBAYARAN!$B$4:$B$500,"September",PEMBAYARAN!$C$4:$C$500,"Minggu 3"),"")</f>
        <v>0</v>
      </c>
      <c r="F13" s="23">
        <f>IF(4&lt;=$D$2,SUMIFS(PEMBAYARAN!$E$4:$E$500,PEMBAYARAN!$A$4:$A$500,$B13,PEMBAYARAN!$B$4:$B$500,"September",PEMBAYARAN!$C$4:$C$500,"Minggu 4"),"")</f>
        <v>0</v>
      </c>
      <c r="G13" s="23" t="str">
        <f>IF(5&lt;=$D$2,SUMIFS(PEMBAYARAN!$E$4:$E$500,PEMBAYARAN!$A$4:$A$500,$B13,PEMBAYARAN!$B$4:$B$500,"September",PEMBAYARAN!$C$4:$C$500,"Minggu 5"),"")</f>
        <v/>
      </c>
      <c r="H13" s="23">
        <f t="shared" si="0"/>
        <v>20000</v>
      </c>
      <c r="I13" s="23">
        <f t="shared" si="1"/>
        <v>0</v>
      </c>
      <c r="J13" s="23">
        <f t="shared" si="2"/>
        <v>20000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-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IF(1&lt;=$D$2,SUMIFS(PEMBAYARAN!$E$4:$E$500,PEMBAYARAN!$A$4:$A$500,$B14,PEMBAYARAN!$B$4:$B$500,"September",PEMBAYARAN!$C$4:$C$500,"Minggu 1"),"")</f>
        <v>0</v>
      </c>
      <c r="D14" s="23">
        <f>IF(2&lt;=$D$2,SUMIFS(PEMBAYARAN!$E$4:$E$500,PEMBAYARAN!$A$4:$A$500,$B14,PEMBAYARAN!$B$4:$B$500,"September",PEMBAYARAN!$C$4:$C$500,"Minggu 2"),"")</f>
        <v>0</v>
      </c>
      <c r="E14" s="23">
        <f>IF(3&lt;=$D$2,SUMIFS(PEMBAYARAN!$E$4:$E$500,PEMBAYARAN!$A$4:$A$500,$B14,PEMBAYARAN!$B$4:$B$500,"September",PEMBAYARAN!$C$4:$C$500,"Minggu 3"),"")</f>
        <v>0</v>
      </c>
      <c r="F14" s="23">
        <f>IF(4&lt;=$D$2,SUMIFS(PEMBAYARAN!$E$4:$E$500,PEMBAYARAN!$A$4:$A$500,$B14,PEMBAYARAN!$B$4:$B$500,"September",PEMBAYARAN!$C$4:$C$500,"Minggu 4"),"")</f>
        <v>0</v>
      </c>
      <c r="G14" s="23" t="str">
        <f>IF(5&lt;=$D$2,SUMIFS(PEMBAYARAN!$E$4:$E$500,PEMBAYARAN!$A$4:$A$500,$B14,PEMBAYARAN!$B$4:$B$500,"September",PEMBAYARAN!$C$4:$C$500,"Minggu 5"),"")</f>
        <v/>
      </c>
      <c r="H14" s="23">
        <f t="shared" si="0"/>
        <v>20000</v>
      </c>
      <c r="I14" s="23">
        <f t="shared" si="1"/>
        <v>0</v>
      </c>
      <c r="J14" s="23">
        <f t="shared" si="2"/>
        <v>20000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-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IF(1&lt;=$D$2,SUMIFS(PEMBAYARAN!$E$4:$E$500,PEMBAYARAN!$A$4:$A$500,$B15,PEMBAYARAN!$B$4:$B$500,"September",PEMBAYARAN!$C$4:$C$500,"Minggu 1"),"")</f>
        <v>0</v>
      </c>
      <c r="D15" s="23">
        <f>IF(2&lt;=$D$2,SUMIFS(PEMBAYARAN!$E$4:$E$500,PEMBAYARAN!$A$4:$A$500,$B15,PEMBAYARAN!$B$4:$B$500,"September",PEMBAYARAN!$C$4:$C$500,"Minggu 2"),"")</f>
        <v>0</v>
      </c>
      <c r="E15" s="23">
        <f>IF(3&lt;=$D$2,SUMIFS(PEMBAYARAN!$E$4:$E$500,PEMBAYARAN!$A$4:$A$500,$B15,PEMBAYARAN!$B$4:$B$500,"September",PEMBAYARAN!$C$4:$C$500,"Minggu 3"),"")</f>
        <v>0</v>
      </c>
      <c r="F15" s="23">
        <f>IF(4&lt;=$D$2,SUMIFS(PEMBAYARAN!$E$4:$E$500,PEMBAYARAN!$A$4:$A$500,$B15,PEMBAYARAN!$B$4:$B$500,"September",PEMBAYARAN!$C$4:$C$500,"Minggu 4"),"")</f>
        <v>0</v>
      </c>
      <c r="G15" s="23" t="str">
        <f>IF(5&lt;=$D$2,SUMIFS(PEMBAYARAN!$E$4:$E$500,PEMBAYARAN!$A$4:$A$500,$B15,PEMBAYARAN!$B$4:$B$500,"September",PEMBAYARAN!$C$4:$C$500,"Minggu 5"),"")</f>
        <v/>
      </c>
      <c r="H15" s="23">
        <f t="shared" si="0"/>
        <v>20000</v>
      </c>
      <c r="I15" s="23">
        <f t="shared" si="1"/>
        <v>0</v>
      </c>
      <c r="J15" s="23">
        <f t="shared" si="2"/>
        <v>20000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-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IF(1&lt;=$D$2,SUMIFS(PEMBAYARAN!$E$4:$E$500,PEMBAYARAN!$A$4:$A$500,$B16,PEMBAYARAN!$B$4:$B$500,"September",PEMBAYARAN!$C$4:$C$500,"Minggu 1"),"")</f>
        <v>0</v>
      </c>
      <c r="D16" s="23">
        <f>IF(2&lt;=$D$2,SUMIFS(PEMBAYARAN!$E$4:$E$500,PEMBAYARAN!$A$4:$A$500,$B16,PEMBAYARAN!$B$4:$B$500,"September",PEMBAYARAN!$C$4:$C$500,"Minggu 2"),"")</f>
        <v>0</v>
      </c>
      <c r="E16" s="23">
        <f>IF(3&lt;=$D$2,SUMIFS(PEMBAYARAN!$E$4:$E$500,PEMBAYARAN!$A$4:$A$500,$B16,PEMBAYARAN!$B$4:$B$500,"September",PEMBAYARAN!$C$4:$C$500,"Minggu 3"),"")</f>
        <v>0</v>
      </c>
      <c r="F16" s="23">
        <f>IF(4&lt;=$D$2,SUMIFS(PEMBAYARAN!$E$4:$E$500,PEMBAYARAN!$A$4:$A$500,$B16,PEMBAYARAN!$B$4:$B$500,"September",PEMBAYARAN!$C$4:$C$500,"Minggu 4"),"")</f>
        <v>0</v>
      </c>
      <c r="G16" s="23" t="str">
        <f>IF(5&lt;=$D$2,SUMIFS(PEMBAYARAN!$E$4:$E$500,PEMBAYARAN!$A$4:$A$500,$B16,PEMBAYARAN!$B$4:$B$500,"September",PEMBAYARAN!$C$4:$C$500,"Minggu 5"),"")</f>
        <v/>
      </c>
      <c r="H16" s="23">
        <f t="shared" si="0"/>
        <v>20000</v>
      </c>
      <c r="I16" s="23">
        <f t="shared" si="1"/>
        <v>0</v>
      </c>
      <c r="J16" s="23">
        <f t="shared" si="2"/>
        <v>20000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-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IF(1&lt;=$D$2,SUMIFS(PEMBAYARAN!$E$4:$E$500,PEMBAYARAN!$A$4:$A$500,$B17,PEMBAYARAN!$B$4:$B$500,"September",PEMBAYARAN!$C$4:$C$500,"Minggu 1"),"")</f>
        <v>0</v>
      </c>
      <c r="D17" s="23">
        <f>IF(2&lt;=$D$2,SUMIFS(PEMBAYARAN!$E$4:$E$500,PEMBAYARAN!$A$4:$A$500,$B17,PEMBAYARAN!$B$4:$B$500,"September",PEMBAYARAN!$C$4:$C$500,"Minggu 2"),"")</f>
        <v>0</v>
      </c>
      <c r="E17" s="23">
        <f>IF(3&lt;=$D$2,SUMIFS(PEMBAYARAN!$E$4:$E$500,PEMBAYARAN!$A$4:$A$500,$B17,PEMBAYARAN!$B$4:$B$500,"September",PEMBAYARAN!$C$4:$C$500,"Minggu 3"),"")</f>
        <v>0</v>
      </c>
      <c r="F17" s="23">
        <f>IF(4&lt;=$D$2,SUMIFS(PEMBAYARAN!$E$4:$E$500,PEMBAYARAN!$A$4:$A$500,$B17,PEMBAYARAN!$B$4:$B$500,"September",PEMBAYARAN!$C$4:$C$500,"Minggu 4"),"")</f>
        <v>0</v>
      </c>
      <c r="G17" s="23" t="str">
        <f>IF(5&lt;=$D$2,SUMIFS(PEMBAYARAN!$E$4:$E$500,PEMBAYARAN!$A$4:$A$500,$B17,PEMBAYARAN!$B$4:$B$500,"September",PEMBAYARAN!$C$4:$C$500,"Minggu 5"),"")</f>
        <v/>
      </c>
      <c r="H17" s="23">
        <f t="shared" si="0"/>
        <v>20000</v>
      </c>
      <c r="I17" s="23">
        <f t="shared" si="1"/>
        <v>0</v>
      </c>
      <c r="J17" s="23">
        <f t="shared" si="2"/>
        <v>20000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-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IF(1&lt;=$D$2,SUMIFS(PEMBAYARAN!$E$4:$E$500,PEMBAYARAN!$A$4:$A$500,$B18,PEMBAYARAN!$B$4:$B$500,"September",PEMBAYARAN!$C$4:$C$500,"Minggu 1"),"")</f>
        <v>0</v>
      </c>
      <c r="D18" s="23">
        <f>IF(2&lt;=$D$2,SUMIFS(PEMBAYARAN!$E$4:$E$500,PEMBAYARAN!$A$4:$A$500,$B18,PEMBAYARAN!$B$4:$B$500,"September",PEMBAYARAN!$C$4:$C$500,"Minggu 2"),"")</f>
        <v>0</v>
      </c>
      <c r="E18" s="23">
        <f>IF(3&lt;=$D$2,SUMIFS(PEMBAYARAN!$E$4:$E$500,PEMBAYARAN!$A$4:$A$500,$B18,PEMBAYARAN!$B$4:$B$500,"September",PEMBAYARAN!$C$4:$C$500,"Minggu 3"),"")</f>
        <v>0</v>
      </c>
      <c r="F18" s="23">
        <f>IF(4&lt;=$D$2,SUMIFS(PEMBAYARAN!$E$4:$E$500,PEMBAYARAN!$A$4:$A$500,$B18,PEMBAYARAN!$B$4:$B$500,"September",PEMBAYARAN!$C$4:$C$500,"Minggu 4"),"")</f>
        <v>0</v>
      </c>
      <c r="G18" s="23" t="str">
        <f>IF(5&lt;=$D$2,SUMIFS(PEMBAYARAN!$E$4:$E$500,PEMBAYARAN!$A$4:$A$500,$B18,PEMBAYARAN!$B$4:$B$500,"September",PEMBAYARAN!$C$4:$C$500,"Minggu 5"),"")</f>
        <v/>
      </c>
      <c r="H18" s="23">
        <f t="shared" si="0"/>
        <v>20000</v>
      </c>
      <c r="I18" s="23">
        <f t="shared" si="1"/>
        <v>0</v>
      </c>
      <c r="J18" s="23">
        <f t="shared" si="2"/>
        <v>20000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-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IF(1&lt;=$D$2,SUMIFS(PEMBAYARAN!$E$4:$E$500,PEMBAYARAN!$A$4:$A$500,$B19,PEMBAYARAN!$B$4:$B$500,"September",PEMBAYARAN!$C$4:$C$500,"Minggu 1"),"")</f>
        <v>0</v>
      </c>
      <c r="D19" s="23">
        <f>IF(2&lt;=$D$2,SUMIFS(PEMBAYARAN!$E$4:$E$500,PEMBAYARAN!$A$4:$A$500,$B19,PEMBAYARAN!$B$4:$B$500,"September",PEMBAYARAN!$C$4:$C$500,"Minggu 2"),"")</f>
        <v>0</v>
      </c>
      <c r="E19" s="23">
        <f>IF(3&lt;=$D$2,SUMIFS(PEMBAYARAN!$E$4:$E$500,PEMBAYARAN!$A$4:$A$500,$B19,PEMBAYARAN!$B$4:$B$500,"September",PEMBAYARAN!$C$4:$C$500,"Minggu 3"),"")</f>
        <v>0</v>
      </c>
      <c r="F19" s="23">
        <f>IF(4&lt;=$D$2,SUMIFS(PEMBAYARAN!$E$4:$E$500,PEMBAYARAN!$A$4:$A$500,$B19,PEMBAYARAN!$B$4:$B$500,"September",PEMBAYARAN!$C$4:$C$500,"Minggu 4"),"")</f>
        <v>0</v>
      </c>
      <c r="G19" s="23" t="str">
        <f>IF(5&lt;=$D$2,SUMIFS(PEMBAYARAN!$E$4:$E$500,PEMBAYARAN!$A$4:$A$500,$B19,PEMBAYARAN!$B$4:$B$500,"September",PEMBAYARAN!$C$4:$C$500,"Minggu 5"),"")</f>
        <v/>
      </c>
      <c r="H19" s="23">
        <f t="shared" si="0"/>
        <v>20000</v>
      </c>
      <c r="I19" s="23">
        <f t="shared" si="1"/>
        <v>0</v>
      </c>
      <c r="J19" s="23">
        <f t="shared" si="2"/>
        <v>20000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-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IF(1&lt;=$D$2,SUMIFS(PEMBAYARAN!$E$4:$E$500,PEMBAYARAN!$A$4:$A$500,$B20,PEMBAYARAN!$B$4:$B$500,"September",PEMBAYARAN!$C$4:$C$500,"Minggu 1"),"")</f>
        <v>0</v>
      </c>
      <c r="D20" s="23">
        <f>IF(2&lt;=$D$2,SUMIFS(PEMBAYARAN!$E$4:$E$500,PEMBAYARAN!$A$4:$A$500,$B20,PEMBAYARAN!$B$4:$B$500,"September",PEMBAYARAN!$C$4:$C$500,"Minggu 2"),"")</f>
        <v>0</v>
      </c>
      <c r="E20" s="23">
        <f>IF(3&lt;=$D$2,SUMIFS(PEMBAYARAN!$E$4:$E$500,PEMBAYARAN!$A$4:$A$500,$B20,PEMBAYARAN!$B$4:$B$500,"September",PEMBAYARAN!$C$4:$C$500,"Minggu 3"),"")</f>
        <v>0</v>
      </c>
      <c r="F20" s="23">
        <f>IF(4&lt;=$D$2,SUMIFS(PEMBAYARAN!$E$4:$E$500,PEMBAYARAN!$A$4:$A$500,$B20,PEMBAYARAN!$B$4:$B$500,"September",PEMBAYARAN!$C$4:$C$500,"Minggu 4"),"")</f>
        <v>0</v>
      </c>
      <c r="G20" s="23" t="str">
        <f>IF(5&lt;=$D$2,SUMIFS(PEMBAYARAN!$E$4:$E$500,PEMBAYARAN!$A$4:$A$500,$B20,PEMBAYARAN!$B$4:$B$500,"September",PEMBAYARAN!$C$4:$C$500,"Minggu 5"),"")</f>
        <v/>
      </c>
      <c r="H20" s="23">
        <f t="shared" si="0"/>
        <v>20000</v>
      </c>
      <c r="I20" s="23">
        <f t="shared" si="1"/>
        <v>0</v>
      </c>
      <c r="J20" s="23">
        <f t="shared" si="2"/>
        <v>20000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-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IF(1&lt;=$D$2,SUMIFS(PEMBAYARAN!$E$4:$E$500,PEMBAYARAN!$A$4:$A$500,$B21,PEMBAYARAN!$B$4:$B$500,"September",PEMBAYARAN!$C$4:$C$500,"Minggu 1"),"")</f>
        <v>0</v>
      </c>
      <c r="D21" s="23">
        <f>IF(2&lt;=$D$2,SUMIFS(PEMBAYARAN!$E$4:$E$500,PEMBAYARAN!$A$4:$A$500,$B21,PEMBAYARAN!$B$4:$B$500,"September",PEMBAYARAN!$C$4:$C$500,"Minggu 2"),"")</f>
        <v>0</v>
      </c>
      <c r="E21" s="23">
        <f>IF(3&lt;=$D$2,SUMIFS(PEMBAYARAN!$E$4:$E$500,PEMBAYARAN!$A$4:$A$500,$B21,PEMBAYARAN!$B$4:$B$500,"September",PEMBAYARAN!$C$4:$C$500,"Minggu 3"),"")</f>
        <v>0</v>
      </c>
      <c r="F21" s="23">
        <f>IF(4&lt;=$D$2,SUMIFS(PEMBAYARAN!$E$4:$E$500,PEMBAYARAN!$A$4:$A$500,$B21,PEMBAYARAN!$B$4:$B$500,"September",PEMBAYARAN!$C$4:$C$500,"Minggu 4"),"")</f>
        <v>0</v>
      </c>
      <c r="G21" s="23" t="str">
        <f>IF(5&lt;=$D$2,SUMIFS(PEMBAYARAN!$E$4:$E$500,PEMBAYARAN!$A$4:$A$500,$B21,PEMBAYARAN!$B$4:$B$500,"September",PEMBAYARAN!$C$4:$C$500,"Minggu 5"),"")</f>
        <v/>
      </c>
      <c r="H21" s="23">
        <f t="shared" si="0"/>
        <v>20000</v>
      </c>
      <c r="I21" s="23">
        <f t="shared" si="1"/>
        <v>0</v>
      </c>
      <c r="J21" s="23">
        <f t="shared" si="2"/>
        <v>20000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-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IF(1&lt;=$D$2,SUMIFS(PEMBAYARAN!$E$4:$E$500,PEMBAYARAN!$A$4:$A$500,$B22,PEMBAYARAN!$B$4:$B$500,"September",PEMBAYARAN!$C$4:$C$500,"Minggu 1"),"")</f>
        <v>0</v>
      </c>
      <c r="D22" s="23">
        <f>IF(2&lt;=$D$2,SUMIFS(PEMBAYARAN!$E$4:$E$500,PEMBAYARAN!$A$4:$A$500,$B22,PEMBAYARAN!$B$4:$B$500,"September",PEMBAYARAN!$C$4:$C$500,"Minggu 2"),"")</f>
        <v>0</v>
      </c>
      <c r="E22" s="23">
        <f>IF(3&lt;=$D$2,SUMIFS(PEMBAYARAN!$E$4:$E$500,PEMBAYARAN!$A$4:$A$500,$B22,PEMBAYARAN!$B$4:$B$500,"September",PEMBAYARAN!$C$4:$C$500,"Minggu 3"),"")</f>
        <v>0</v>
      </c>
      <c r="F22" s="23">
        <f>IF(4&lt;=$D$2,SUMIFS(PEMBAYARAN!$E$4:$E$500,PEMBAYARAN!$A$4:$A$500,$B22,PEMBAYARAN!$B$4:$B$500,"September",PEMBAYARAN!$C$4:$C$500,"Minggu 4"),"")</f>
        <v>0</v>
      </c>
      <c r="G22" s="23" t="str">
        <f>IF(5&lt;=$D$2,SUMIFS(PEMBAYARAN!$E$4:$E$500,PEMBAYARAN!$A$4:$A$500,$B22,PEMBAYARAN!$B$4:$B$500,"September",PEMBAYARAN!$C$4:$C$500,"Minggu 5"),"")</f>
        <v/>
      </c>
      <c r="H22" s="23">
        <f t="shared" si="0"/>
        <v>20000</v>
      </c>
      <c r="I22" s="23">
        <f t="shared" si="1"/>
        <v>0</v>
      </c>
      <c r="J22" s="23">
        <f t="shared" si="2"/>
        <v>20000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-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IF(1&lt;=$D$2,SUMIFS(PEMBAYARAN!$E$4:$E$500,PEMBAYARAN!$A$4:$A$500,$B23,PEMBAYARAN!$B$4:$B$500,"September",PEMBAYARAN!$C$4:$C$500,"Minggu 1"),"")</f>
        <v>0</v>
      </c>
      <c r="D23" s="23">
        <f>IF(2&lt;=$D$2,SUMIFS(PEMBAYARAN!$E$4:$E$500,PEMBAYARAN!$A$4:$A$500,$B23,PEMBAYARAN!$B$4:$B$500,"September",PEMBAYARAN!$C$4:$C$500,"Minggu 2"),"")</f>
        <v>0</v>
      </c>
      <c r="E23" s="23">
        <f>IF(3&lt;=$D$2,SUMIFS(PEMBAYARAN!$E$4:$E$500,PEMBAYARAN!$A$4:$A$500,$B23,PEMBAYARAN!$B$4:$B$500,"September",PEMBAYARAN!$C$4:$C$500,"Minggu 3"),"")</f>
        <v>0</v>
      </c>
      <c r="F23" s="23">
        <f>IF(4&lt;=$D$2,SUMIFS(PEMBAYARAN!$E$4:$E$500,PEMBAYARAN!$A$4:$A$500,$B23,PEMBAYARAN!$B$4:$B$500,"September",PEMBAYARAN!$C$4:$C$500,"Minggu 4"),"")</f>
        <v>0</v>
      </c>
      <c r="G23" s="23" t="str">
        <f>IF(5&lt;=$D$2,SUMIFS(PEMBAYARAN!$E$4:$E$500,PEMBAYARAN!$A$4:$A$500,$B23,PEMBAYARAN!$B$4:$B$500,"September",PEMBAYARAN!$C$4:$C$500,"Minggu 5"),"")</f>
        <v/>
      </c>
      <c r="H23" s="23">
        <f t="shared" si="0"/>
        <v>20000</v>
      </c>
      <c r="I23" s="23">
        <f t="shared" si="1"/>
        <v>0</v>
      </c>
      <c r="J23" s="23">
        <f t="shared" si="2"/>
        <v>20000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-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IF(1&lt;=$D$2,SUMIFS(PEMBAYARAN!$E$4:$E$500,PEMBAYARAN!$A$4:$A$500,$B24,PEMBAYARAN!$B$4:$B$500,"September",PEMBAYARAN!$C$4:$C$500,"Minggu 1"),"")</f>
        <v>0</v>
      </c>
      <c r="D24" s="23">
        <f>IF(2&lt;=$D$2,SUMIFS(PEMBAYARAN!$E$4:$E$500,PEMBAYARAN!$A$4:$A$500,$B24,PEMBAYARAN!$B$4:$B$500,"September",PEMBAYARAN!$C$4:$C$500,"Minggu 2"),"")</f>
        <v>0</v>
      </c>
      <c r="E24" s="23">
        <f>IF(3&lt;=$D$2,SUMIFS(PEMBAYARAN!$E$4:$E$500,PEMBAYARAN!$A$4:$A$500,$B24,PEMBAYARAN!$B$4:$B$500,"September",PEMBAYARAN!$C$4:$C$500,"Minggu 3"),"")</f>
        <v>0</v>
      </c>
      <c r="F24" s="23">
        <f>IF(4&lt;=$D$2,SUMIFS(PEMBAYARAN!$E$4:$E$500,PEMBAYARAN!$A$4:$A$500,$B24,PEMBAYARAN!$B$4:$B$500,"September",PEMBAYARAN!$C$4:$C$500,"Minggu 4"),"")</f>
        <v>0</v>
      </c>
      <c r="G24" s="23" t="str">
        <f>IF(5&lt;=$D$2,SUMIFS(PEMBAYARAN!$E$4:$E$500,PEMBAYARAN!$A$4:$A$500,$B24,PEMBAYARAN!$B$4:$B$500,"September",PEMBAYARAN!$C$4:$C$500,"Minggu 5"),"")</f>
        <v/>
      </c>
      <c r="H24" s="23">
        <f t="shared" si="0"/>
        <v>20000</v>
      </c>
      <c r="I24" s="23">
        <f t="shared" si="1"/>
        <v>0</v>
      </c>
      <c r="J24" s="23">
        <f t="shared" si="2"/>
        <v>20000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-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IF(1&lt;=$D$2,SUMIFS(PEMBAYARAN!$E$4:$E$500,PEMBAYARAN!$A$4:$A$500,$B25,PEMBAYARAN!$B$4:$B$500,"September",PEMBAYARAN!$C$4:$C$500,"Minggu 1"),"")</f>
        <v>0</v>
      </c>
      <c r="D25" s="23">
        <f>IF(2&lt;=$D$2,SUMIFS(PEMBAYARAN!$E$4:$E$500,PEMBAYARAN!$A$4:$A$500,$B25,PEMBAYARAN!$B$4:$B$500,"September",PEMBAYARAN!$C$4:$C$500,"Minggu 2"),"")</f>
        <v>0</v>
      </c>
      <c r="E25" s="23">
        <f>IF(3&lt;=$D$2,SUMIFS(PEMBAYARAN!$E$4:$E$500,PEMBAYARAN!$A$4:$A$500,$B25,PEMBAYARAN!$B$4:$B$500,"September",PEMBAYARAN!$C$4:$C$500,"Minggu 3"),"")</f>
        <v>0</v>
      </c>
      <c r="F25" s="23">
        <f>IF(4&lt;=$D$2,SUMIFS(PEMBAYARAN!$E$4:$E$500,PEMBAYARAN!$A$4:$A$500,$B25,PEMBAYARAN!$B$4:$B$500,"September",PEMBAYARAN!$C$4:$C$500,"Minggu 4"),"")</f>
        <v>0</v>
      </c>
      <c r="G25" s="23" t="str">
        <f>IF(5&lt;=$D$2,SUMIFS(PEMBAYARAN!$E$4:$E$500,PEMBAYARAN!$A$4:$A$500,$B25,PEMBAYARAN!$B$4:$B$500,"September",PEMBAYARAN!$C$4:$C$500,"Minggu 5"),"")</f>
        <v/>
      </c>
      <c r="H25" s="23">
        <f t="shared" si="0"/>
        <v>20000</v>
      </c>
      <c r="I25" s="23">
        <f t="shared" si="1"/>
        <v>0</v>
      </c>
      <c r="J25" s="23">
        <f t="shared" si="2"/>
        <v>20000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-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IF(1&lt;=$D$2,SUMIFS(PEMBAYARAN!$E$4:$E$500,PEMBAYARAN!$A$4:$A$500,$B26,PEMBAYARAN!$B$4:$B$500,"September",PEMBAYARAN!$C$4:$C$500,"Minggu 1"),"")</f>
        <v>0</v>
      </c>
      <c r="D26" s="23">
        <f>IF(2&lt;=$D$2,SUMIFS(PEMBAYARAN!$E$4:$E$500,PEMBAYARAN!$A$4:$A$500,$B26,PEMBAYARAN!$B$4:$B$500,"September",PEMBAYARAN!$C$4:$C$500,"Minggu 2"),"")</f>
        <v>0</v>
      </c>
      <c r="E26" s="23">
        <f>IF(3&lt;=$D$2,SUMIFS(PEMBAYARAN!$E$4:$E$500,PEMBAYARAN!$A$4:$A$500,$B26,PEMBAYARAN!$B$4:$B$500,"September",PEMBAYARAN!$C$4:$C$500,"Minggu 3"),"")</f>
        <v>0</v>
      </c>
      <c r="F26" s="23">
        <f>IF(4&lt;=$D$2,SUMIFS(PEMBAYARAN!$E$4:$E$500,PEMBAYARAN!$A$4:$A$500,$B26,PEMBAYARAN!$B$4:$B$500,"September",PEMBAYARAN!$C$4:$C$500,"Minggu 4"),"")</f>
        <v>0</v>
      </c>
      <c r="G26" s="23" t="str">
        <f>IF(5&lt;=$D$2,SUMIFS(PEMBAYARAN!$E$4:$E$500,PEMBAYARAN!$A$4:$A$500,$B26,PEMBAYARAN!$B$4:$B$500,"September",PEMBAYARAN!$C$4:$C$500,"Minggu 5"),"")</f>
        <v/>
      </c>
      <c r="H26" s="23">
        <f t="shared" si="0"/>
        <v>20000</v>
      </c>
      <c r="I26" s="23">
        <f t="shared" si="1"/>
        <v>0</v>
      </c>
      <c r="J26" s="23">
        <f t="shared" si="2"/>
        <v>20000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-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IF(1&lt;=$D$2,SUMIFS(PEMBAYARAN!$E$4:$E$500,PEMBAYARAN!$A$4:$A$500,$B27,PEMBAYARAN!$B$4:$B$500,"September",PEMBAYARAN!$C$4:$C$500,"Minggu 1"),"")</f>
        <v>0</v>
      </c>
      <c r="D27" s="23">
        <f>IF(2&lt;=$D$2,SUMIFS(PEMBAYARAN!$E$4:$E$500,PEMBAYARAN!$A$4:$A$500,$B27,PEMBAYARAN!$B$4:$B$500,"September",PEMBAYARAN!$C$4:$C$500,"Minggu 2"),"")</f>
        <v>0</v>
      </c>
      <c r="E27" s="23">
        <f>IF(3&lt;=$D$2,SUMIFS(PEMBAYARAN!$E$4:$E$500,PEMBAYARAN!$A$4:$A$500,$B27,PEMBAYARAN!$B$4:$B$500,"September",PEMBAYARAN!$C$4:$C$500,"Minggu 3"),"")</f>
        <v>0</v>
      </c>
      <c r="F27" s="23">
        <f>IF(4&lt;=$D$2,SUMIFS(PEMBAYARAN!$E$4:$E$500,PEMBAYARAN!$A$4:$A$500,$B27,PEMBAYARAN!$B$4:$B$500,"September",PEMBAYARAN!$C$4:$C$500,"Minggu 4"),"")</f>
        <v>0</v>
      </c>
      <c r="G27" s="23" t="str">
        <f>IF(5&lt;=$D$2,SUMIFS(PEMBAYARAN!$E$4:$E$500,PEMBAYARAN!$A$4:$A$500,$B27,PEMBAYARAN!$B$4:$B$500,"September",PEMBAYARAN!$C$4:$C$500,"Minggu 5"),"")</f>
        <v/>
      </c>
      <c r="H27" s="23">
        <f t="shared" si="0"/>
        <v>20000</v>
      </c>
      <c r="I27" s="23">
        <f t="shared" si="1"/>
        <v>0</v>
      </c>
      <c r="J27" s="23">
        <f t="shared" si="2"/>
        <v>20000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-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IF(1&lt;=$D$2,SUMIFS(PEMBAYARAN!$E$4:$E$500,PEMBAYARAN!$A$4:$A$500,$B28,PEMBAYARAN!$B$4:$B$500,"September",PEMBAYARAN!$C$4:$C$500,"Minggu 1"),"")</f>
        <v>0</v>
      </c>
      <c r="D28" s="23">
        <f>IF(2&lt;=$D$2,SUMIFS(PEMBAYARAN!$E$4:$E$500,PEMBAYARAN!$A$4:$A$500,$B28,PEMBAYARAN!$B$4:$B$500,"September",PEMBAYARAN!$C$4:$C$500,"Minggu 2"),"")</f>
        <v>0</v>
      </c>
      <c r="E28" s="23">
        <f>IF(3&lt;=$D$2,SUMIFS(PEMBAYARAN!$E$4:$E$500,PEMBAYARAN!$A$4:$A$500,$B28,PEMBAYARAN!$B$4:$B$500,"September",PEMBAYARAN!$C$4:$C$500,"Minggu 3"),"")</f>
        <v>0</v>
      </c>
      <c r="F28" s="23">
        <f>IF(4&lt;=$D$2,SUMIFS(PEMBAYARAN!$E$4:$E$500,PEMBAYARAN!$A$4:$A$500,$B28,PEMBAYARAN!$B$4:$B$500,"September",PEMBAYARAN!$C$4:$C$500,"Minggu 4"),"")</f>
        <v>0</v>
      </c>
      <c r="G28" s="23" t="str">
        <f>IF(5&lt;=$D$2,SUMIFS(PEMBAYARAN!$E$4:$E$500,PEMBAYARAN!$A$4:$A$500,$B28,PEMBAYARAN!$B$4:$B$500,"September",PEMBAYARAN!$C$4:$C$500,"Minggu 5"),"")</f>
        <v/>
      </c>
      <c r="H28" s="23">
        <f t="shared" si="0"/>
        <v>20000</v>
      </c>
      <c r="I28" s="23">
        <f t="shared" si="1"/>
        <v>0</v>
      </c>
      <c r="J28" s="23">
        <f t="shared" si="2"/>
        <v>20000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-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IF(1&lt;=$D$2,SUMIFS(PEMBAYARAN!$E$4:$E$500,PEMBAYARAN!$A$4:$A$500,$B29,PEMBAYARAN!$B$4:$B$500,"September",PEMBAYARAN!$C$4:$C$500,"Minggu 1"),"")</f>
        <v>0</v>
      </c>
      <c r="D29" s="23">
        <f>IF(2&lt;=$D$2,SUMIFS(PEMBAYARAN!$E$4:$E$500,PEMBAYARAN!$A$4:$A$500,$B29,PEMBAYARAN!$B$4:$B$500,"September",PEMBAYARAN!$C$4:$C$500,"Minggu 2"),"")</f>
        <v>0</v>
      </c>
      <c r="E29" s="23">
        <f>IF(3&lt;=$D$2,SUMIFS(PEMBAYARAN!$E$4:$E$500,PEMBAYARAN!$A$4:$A$500,$B29,PEMBAYARAN!$B$4:$B$500,"September",PEMBAYARAN!$C$4:$C$500,"Minggu 3"),"")</f>
        <v>0</v>
      </c>
      <c r="F29" s="23">
        <f>IF(4&lt;=$D$2,SUMIFS(PEMBAYARAN!$E$4:$E$500,PEMBAYARAN!$A$4:$A$500,$B29,PEMBAYARAN!$B$4:$B$500,"September",PEMBAYARAN!$C$4:$C$500,"Minggu 4"),"")</f>
        <v>0</v>
      </c>
      <c r="G29" s="23" t="str">
        <f>IF(5&lt;=$D$2,SUMIFS(PEMBAYARAN!$E$4:$E$500,PEMBAYARAN!$A$4:$A$500,$B29,PEMBAYARAN!$B$4:$B$500,"September",PEMBAYARAN!$C$4:$C$500,"Minggu 5"),"")</f>
        <v/>
      </c>
      <c r="H29" s="23">
        <f t="shared" si="0"/>
        <v>20000</v>
      </c>
      <c r="I29" s="23">
        <f t="shared" si="1"/>
        <v>0</v>
      </c>
      <c r="J29" s="23">
        <f t="shared" si="2"/>
        <v>20000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-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IF(1&lt;=$D$2,SUMIFS(PEMBAYARAN!$E$4:$E$500,PEMBAYARAN!$A$4:$A$500,$B30,PEMBAYARAN!$B$4:$B$500,"September",PEMBAYARAN!$C$4:$C$500,"Minggu 1"),"")</f>
        <v>0</v>
      </c>
      <c r="D30" s="23">
        <f>IF(2&lt;=$D$2,SUMIFS(PEMBAYARAN!$E$4:$E$500,PEMBAYARAN!$A$4:$A$500,$B30,PEMBAYARAN!$B$4:$B$500,"September",PEMBAYARAN!$C$4:$C$500,"Minggu 2"),"")</f>
        <v>0</v>
      </c>
      <c r="E30" s="23">
        <f>IF(3&lt;=$D$2,SUMIFS(PEMBAYARAN!$E$4:$E$500,PEMBAYARAN!$A$4:$A$500,$B30,PEMBAYARAN!$B$4:$B$500,"September",PEMBAYARAN!$C$4:$C$500,"Minggu 3"),"")</f>
        <v>0</v>
      </c>
      <c r="F30" s="23">
        <f>IF(4&lt;=$D$2,SUMIFS(PEMBAYARAN!$E$4:$E$500,PEMBAYARAN!$A$4:$A$500,$B30,PEMBAYARAN!$B$4:$B$500,"September",PEMBAYARAN!$C$4:$C$500,"Minggu 4"),"")</f>
        <v>0</v>
      </c>
      <c r="G30" s="23" t="str">
        <f>IF(5&lt;=$D$2,SUMIFS(PEMBAYARAN!$E$4:$E$500,PEMBAYARAN!$A$4:$A$500,$B30,PEMBAYARAN!$B$4:$B$500,"September",PEMBAYARAN!$C$4:$C$500,"Minggu 5"),"")</f>
        <v/>
      </c>
      <c r="H30" s="23">
        <f t="shared" si="0"/>
        <v>20000</v>
      </c>
      <c r="I30" s="23">
        <f t="shared" si="1"/>
        <v>0</v>
      </c>
      <c r="J30" s="23">
        <f t="shared" si="2"/>
        <v>20000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-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IF(1&lt;=$D$2,SUMIFS(PEMBAYARAN!$E$4:$E$500,PEMBAYARAN!$A$4:$A$500,$B31,PEMBAYARAN!$B$4:$B$500,"September",PEMBAYARAN!$C$4:$C$500,"Minggu 1"),"")</f>
        <v>0</v>
      </c>
      <c r="D31" s="23">
        <f>IF(2&lt;=$D$2,SUMIFS(PEMBAYARAN!$E$4:$E$500,PEMBAYARAN!$A$4:$A$500,$B31,PEMBAYARAN!$B$4:$B$500,"September",PEMBAYARAN!$C$4:$C$500,"Minggu 2"),"")</f>
        <v>0</v>
      </c>
      <c r="E31" s="23">
        <f>IF(3&lt;=$D$2,SUMIFS(PEMBAYARAN!$E$4:$E$500,PEMBAYARAN!$A$4:$A$500,$B31,PEMBAYARAN!$B$4:$B$500,"September",PEMBAYARAN!$C$4:$C$500,"Minggu 3"),"")</f>
        <v>0</v>
      </c>
      <c r="F31" s="23">
        <f>IF(4&lt;=$D$2,SUMIFS(PEMBAYARAN!$E$4:$E$500,PEMBAYARAN!$A$4:$A$500,$B31,PEMBAYARAN!$B$4:$B$500,"September",PEMBAYARAN!$C$4:$C$500,"Minggu 4"),"")</f>
        <v>0</v>
      </c>
      <c r="G31" s="23" t="str">
        <f>IF(5&lt;=$D$2,SUMIFS(PEMBAYARAN!$E$4:$E$500,PEMBAYARAN!$A$4:$A$500,$B31,PEMBAYARAN!$B$4:$B$500,"September",PEMBAYARAN!$C$4:$C$500,"Minggu 5"),"")</f>
        <v/>
      </c>
      <c r="H31" s="23">
        <f t="shared" si="0"/>
        <v>20000</v>
      </c>
      <c r="I31" s="23">
        <f t="shared" si="1"/>
        <v>0</v>
      </c>
      <c r="J31" s="23">
        <f t="shared" si="2"/>
        <v>20000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-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IF(1&lt;=$D$2,SUMIFS(PEMBAYARAN!$E$4:$E$500,PEMBAYARAN!$A$4:$A$500,$B32,PEMBAYARAN!$B$4:$B$500,"September",PEMBAYARAN!$C$4:$C$500,"Minggu 1"),"")</f>
        <v>0</v>
      </c>
      <c r="D32" s="23">
        <f>IF(2&lt;=$D$2,SUMIFS(PEMBAYARAN!$E$4:$E$500,PEMBAYARAN!$A$4:$A$500,$B32,PEMBAYARAN!$B$4:$B$500,"September",PEMBAYARAN!$C$4:$C$500,"Minggu 2"),"")</f>
        <v>0</v>
      </c>
      <c r="E32" s="23">
        <f>IF(3&lt;=$D$2,SUMIFS(PEMBAYARAN!$E$4:$E$500,PEMBAYARAN!$A$4:$A$500,$B32,PEMBAYARAN!$B$4:$B$500,"September",PEMBAYARAN!$C$4:$C$500,"Minggu 3"),"")</f>
        <v>0</v>
      </c>
      <c r="F32" s="23">
        <f>IF(4&lt;=$D$2,SUMIFS(PEMBAYARAN!$E$4:$E$500,PEMBAYARAN!$A$4:$A$500,$B32,PEMBAYARAN!$B$4:$B$500,"September",PEMBAYARAN!$C$4:$C$500,"Minggu 4"),"")</f>
        <v>0</v>
      </c>
      <c r="G32" s="23" t="str">
        <f>IF(5&lt;=$D$2,SUMIFS(PEMBAYARAN!$E$4:$E$500,PEMBAYARAN!$A$4:$A$500,$B32,PEMBAYARAN!$B$4:$B$500,"September",PEMBAYARAN!$C$4:$C$500,"Minggu 5"),"")</f>
        <v/>
      </c>
      <c r="H32" s="23">
        <f t="shared" si="0"/>
        <v>20000</v>
      </c>
      <c r="I32" s="23">
        <f t="shared" si="1"/>
        <v>0</v>
      </c>
      <c r="J32" s="23">
        <f t="shared" si="2"/>
        <v>20000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-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IF(1&lt;=$D$2,SUMIFS(PEMBAYARAN!$E$4:$E$500,PEMBAYARAN!$A$4:$A$500,$B33,PEMBAYARAN!$B$4:$B$500,"September",PEMBAYARAN!$C$4:$C$500,"Minggu 1"),"")</f>
        <v>0</v>
      </c>
      <c r="D33" s="23">
        <f>IF(2&lt;=$D$2,SUMIFS(PEMBAYARAN!$E$4:$E$500,PEMBAYARAN!$A$4:$A$500,$B33,PEMBAYARAN!$B$4:$B$500,"September",PEMBAYARAN!$C$4:$C$500,"Minggu 2"),"")</f>
        <v>0</v>
      </c>
      <c r="E33" s="23">
        <f>IF(3&lt;=$D$2,SUMIFS(PEMBAYARAN!$E$4:$E$500,PEMBAYARAN!$A$4:$A$500,$B33,PEMBAYARAN!$B$4:$B$500,"September",PEMBAYARAN!$C$4:$C$500,"Minggu 3"),"")</f>
        <v>0</v>
      </c>
      <c r="F33" s="23">
        <f>IF(4&lt;=$D$2,SUMIFS(PEMBAYARAN!$E$4:$E$500,PEMBAYARAN!$A$4:$A$500,$B33,PEMBAYARAN!$B$4:$B$500,"September",PEMBAYARAN!$C$4:$C$500,"Minggu 4"),"")</f>
        <v>0</v>
      </c>
      <c r="G33" s="23" t="str">
        <f>IF(5&lt;=$D$2,SUMIFS(PEMBAYARAN!$E$4:$E$500,PEMBAYARAN!$A$4:$A$500,$B33,PEMBAYARAN!$B$4:$B$500,"September",PEMBAYARAN!$C$4:$C$500,"Minggu 5"),"")</f>
        <v/>
      </c>
      <c r="H33" s="23">
        <f t="shared" si="0"/>
        <v>20000</v>
      </c>
      <c r="I33" s="23">
        <f t="shared" si="1"/>
        <v>0</v>
      </c>
      <c r="J33" s="23">
        <f t="shared" si="2"/>
        <v>20000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-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IF(1&lt;=$D$2,SUMIFS(PEMBAYARAN!$E$4:$E$500,PEMBAYARAN!$A$4:$A$500,$B34,PEMBAYARAN!$B$4:$B$500,"September",PEMBAYARAN!$C$4:$C$500,"Minggu 1"),"")</f>
        <v>0</v>
      </c>
      <c r="D34" s="23">
        <f>IF(2&lt;=$D$2,SUMIFS(PEMBAYARAN!$E$4:$E$500,PEMBAYARAN!$A$4:$A$500,$B34,PEMBAYARAN!$B$4:$B$500,"September",PEMBAYARAN!$C$4:$C$500,"Minggu 2"),"")</f>
        <v>0</v>
      </c>
      <c r="E34" s="23">
        <f>IF(3&lt;=$D$2,SUMIFS(PEMBAYARAN!$E$4:$E$500,PEMBAYARAN!$A$4:$A$500,$B34,PEMBAYARAN!$B$4:$B$500,"September",PEMBAYARAN!$C$4:$C$500,"Minggu 3"),"")</f>
        <v>0</v>
      </c>
      <c r="F34" s="23">
        <f>IF(4&lt;=$D$2,SUMIFS(PEMBAYARAN!$E$4:$E$500,PEMBAYARAN!$A$4:$A$500,$B34,PEMBAYARAN!$B$4:$B$500,"September",PEMBAYARAN!$C$4:$C$500,"Minggu 4"),"")</f>
        <v>0</v>
      </c>
      <c r="G34" s="23" t="str">
        <f>IF(5&lt;=$D$2,SUMIFS(PEMBAYARAN!$E$4:$E$500,PEMBAYARAN!$A$4:$A$500,$B34,PEMBAYARAN!$B$4:$B$500,"September",PEMBAYARAN!$C$4:$C$500,"Minggu 5"),"")</f>
        <v/>
      </c>
      <c r="H34" s="23">
        <f t="shared" si="0"/>
        <v>20000</v>
      </c>
      <c r="I34" s="23">
        <f t="shared" si="1"/>
        <v>0</v>
      </c>
      <c r="J34" s="23">
        <f t="shared" si="2"/>
        <v>20000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-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IF(1&lt;=$D$2,SUMIFS(PEMBAYARAN!$E$4:$E$500,PEMBAYARAN!$A$4:$A$500,$B35,PEMBAYARAN!$B$4:$B$500,"September",PEMBAYARAN!$C$4:$C$500,"Minggu 1"),"")</f>
        <v>0</v>
      </c>
      <c r="D35" s="23">
        <f>IF(2&lt;=$D$2,SUMIFS(PEMBAYARAN!$E$4:$E$500,PEMBAYARAN!$A$4:$A$500,$B35,PEMBAYARAN!$B$4:$B$500,"September",PEMBAYARAN!$C$4:$C$500,"Minggu 2"),"")</f>
        <v>0</v>
      </c>
      <c r="E35" s="23">
        <f>IF(3&lt;=$D$2,SUMIFS(PEMBAYARAN!$E$4:$E$500,PEMBAYARAN!$A$4:$A$500,$B35,PEMBAYARAN!$B$4:$B$500,"September",PEMBAYARAN!$C$4:$C$500,"Minggu 3"),"")</f>
        <v>0</v>
      </c>
      <c r="F35" s="23">
        <f>IF(4&lt;=$D$2,SUMIFS(PEMBAYARAN!$E$4:$E$500,PEMBAYARAN!$A$4:$A$500,$B35,PEMBAYARAN!$B$4:$B$500,"September",PEMBAYARAN!$C$4:$C$500,"Minggu 4"),"")</f>
        <v>0</v>
      </c>
      <c r="G35" s="23" t="str">
        <f>IF(5&lt;=$D$2,SUMIFS(PEMBAYARAN!$E$4:$E$500,PEMBAYARAN!$A$4:$A$500,$B35,PEMBAYARAN!$B$4:$B$500,"September",PEMBAYARAN!$C$4:$C$500,"Minggu 5"),"")</f>
        <v/>
      </c>
      <c r="H35" s="23">
        <f t="shared" si="0"/>
        <v>20000</v>
      </c>
      <c r="I35" s="23">
        <f t="shared" si="1"/>
        <v>0</v>
      </c>
      <c r="J35" s="23">
        <f t="shared" si="2"/>
        <v>20000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-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IF(1&lt;=$D$2,SUMIFS(PEMBAYARAN!$E$4:$E$500,PEMBAYARAN!$A$4:$A$500,$B36,PEMBAYARAN!$B$4:$B$500,"September",PEMBAYARAN!$C$4:$C$500,"Minggu 1"),"")</f>
        <v>0</v>
      </c>
      <c r="D36" s="23">
        <f>IF(2&lt;=$D$2,SUMIFS(PEMBAYARAN!$E$4:$E$500,PEMBAYARAN!$A$4:$A$500,$B36,PEMBAYARAN!$B$4:$B$500,"September",PEMBAYARAN!$C$4:$C$500,"Minggu 2"),"")</f>
        <v>0</v>
      </c>
      <c r="E36" s="23">
        <f>IF(3&lt;=$D$2,SUMIFS(PEMBAYARAN!$E$4:$E$500,PEMBAYARAN!$A$4:$A$500,$B36,PEMBAYARAN!$B$4:$B$500,"September",PEMBAYARAN!$C$4:$C$500,"Minggu 3"),"")</f>
        <v>0</v>
      </c>
      <c r="F36" s="23">
        <f>IF(4&lt;=$D$2,SUMIFS(PEMBAYARAN!$E$4:$E$500,PEMBAYARAN!$A$4:$A$500,$B36,PEMBAYARAN!$B$4:$B$500,"September",PEMBAYARAN!$C$4:$C$500,"Minggu 4"),"")</f>
        <v>0</v>
      </c>
      <c r="G36" s="23" t="str">
        <f>IF(5&lt;=$D$2,SUMIFS(PEMBAYARAN!$E$4:$E$500,PEMBAYARAN!$A$4:$A$500,$B36,PEMBAYARAN!$B$4:$B$500,"September",PEMBAYARAN!$C$4:$C$500,"Minggu 5"),"")</f>
        <v/>
      </c>
      <c r="H36" s="23">
        <f t="shared" si="0"/>
        <v>20000</v>
      </c>
      <c r="I36" s="23">
        <f t="shared" si="1"/>
        <v>0</v>
      </c>
      <c r="J36" s="23">
        <f t="shared" si="2"/>
        <v>20000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-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IF(1&lt;=$D$2,SUMIFS(PEMBAYARAN!$E$4:$E$500,PEMBAYARAN!$A$4:$A$500,$B37,PEMBAYARAN!$B$4:$B$500,"September",PEMBAYARAN!$C$4:$C$500,"Minggu 1"),"")</f>
        <v>0</v>
      </c>
      <c r="D37" s="23">
        <f>IF(2&lt;=$D$2,SUMIFS(PEMBAYARAN!$E$4:$E$500,PEMBAYARAN!$A$4:$A$500,$B37,PEMBAYARAN!$B$4:$B$500,"September",PEMBAYARAN!$C$4:$C$500,"Minggu 2"),"")</f>
        <v>0</v>
      </c>
      <c r="E37" s="23">
        <f>IF(3&lt;=$D$2,SUMIFS(PEMBAYARAN!$E$4:$E$500,PEMBAYARAN!$A$4:$A$500,$B37,PEMBAYARAN!$B$4:$B$500,"September",PEMBAYARAN!$C$4:$C$500,"Minggu 3"),"")</f>
        <v>0</v>
      </c>
      <c r="F37" s="23">
        <f>IF(4&lt;=$D$2,SUMIFS(PEMBAYARAN!$E$4:$E$500,PEMBAYARAN!$A$4:$A$500,$B37,PEMBAYARAN!$B$4:$B$500,"September",PEMBAYARAN!$C$4:$C$500,"Minggu 4"),"")</f>
        <v>0</v>
      </c>
      <c r="G37" s="23" t="str">
        <f>IF(5&lt;=$D$2,SUMIFS(PEMBAYARAN!$E$4:$E$500,PEMBAYARAN!$A$4:$A$500,$B37,PEMBAYARAN!$B$4:$B$500,"September",PEMBAYARAN!$C$4:$C$500,"Minggu 5"),"")</f>
        <v/>
      </c>
      <c r="H37" s="23">
        <f t="shared" si="0"/>
        <v>20000</v>
      </c>
      <c r="I37" s="23">
        <f t="shared" si="1"/>
        <v>0</v>
      </c>
      <c r="J37" s="23">
        <f t="shared" si="2"/>
        <v>20000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-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IF(1&lt;=$D$2,SUMIFS(PEMBAYARAN!$E$4:$E$500,PEMBAYARAN!$A$4:$A$500,$B38,PEMBAYARAN!$B$4:$B$500,"September",PEMBAYARAN!$C$4:$C$500,"Minggu 1"),"")</f>
        <v>0</v>
      </c>
      <c r="D38" s="23">
        <f>IF(2&lt;=$D$2,SUMIFS(PEMBAYARAN!$E$4:$E$500,PEMBAYARAN!$A$4:$A$500,$B38,PEMBAYARAN!$B$4:$B$500,"September",PEMBAYARAN!$C$4:$C$500,"Minggu 2"),"")</f>
        <v>0</v>
      </c>
      <c r="E38" s="23">
        <f>IF(3&lt;=$D$2,SUMIFS(PEMBAYARAN!$E$4:$E$500,PEMBAYARAN!$A$4:$A$500,$B38,PEMBAYARAN!$B$4:$B$500,"September",PEMBAYARAN!$C$4:$C$500,"Minggu 3"),"")</f>
        <v>0</v>
      </c>
      <c r="F38" s="23">
        <f>IF(4&lt;=$D$2,SUMIFS(PEMBAYARAN!$E$4:$E$500,PEMBAYARAN!$A$4:$A$500,$B38,PEMBAYARAN!$B$4:$B$500,"September",PEMBAYARAN!$C$4:$C$500,"Minggu 4"),"")</f>
        <v>0</v>
      </c>
      <c r="G38" s="23" t="str">
        <f>IF(5&lt;=$D$2,SUMIFS(PEMBAYARAN!$E$4:$E$500,PEMBAYARAN!$A$4:$A$500,$B38,PEMBAYARAN!$B$4:$B$500,"September",PEMBAYARAN!$C$4:$C$500,"Minggu 5"),"")</f>
        <v/>
      </c>
      <c r="H38" s="23">
        <f t="shared" si="0"/>
        <v>20000</v>
      </c>
      <c r="I38" s="23">
        <f t="shared" si="1"/>
        <v>0</v>
      </c>
      <c r="J38" s="23">
        <f t="shared" si="2"/>
        <v>20000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-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IF(1&lt;=$D$2,SUMIFS(PEMBAYARAN!$E$4:$E$500,PEMBAYARAN!$A$4:$A$500,$B39,PEMBAYARAN!$B$4:$B$500,"September",PEMBAYARAN!$C$4:$C$500,"Minggu 1"),"")</f>
        <v>0</v>
      </c>
      <c r="D39" s="23">
        <f>IF(2&lt;=$D$2,SUMIFS(PEMBAYARAN!$E$4:$E$500,PEMBAYARAN!$A$4:$A$500,$B39,PEMBAYARAN!$B$4:$B$500,"September",PEMBAYARAN!$C$4:$C$500,"Minggu 2"),"")</f>
        <v>0</v>
      </c>
      <c r="E39" s="23">
        <f>IF(3&lt;=$D$2,SUMIFS(PEMBAYARAN!$E$4:$E$500,PEMBAYARAN!$A$4:$A$500,$B39,PEMBAYARAN!$B$4:$B$500,"September",PEMBAYARAN!$C$4:$C$500,"Minggu 3"),"")</f>
        <v>0</v>
      </c>
      <c r="F39" s="23">
        <f>IF(4&lt;=$D$2,SUMIFS(PEMBAYARAN!$E$4:$E$500,PEMBAYARAN!$A$4:$A$500,$B39,PEMBAYARAN!$B$4:$B$500,"September",PEMBAYARAN!$C$4:$C$500,"Minggu 4"),"")</f>
        <v>0</v>
      </c>
      <c r="G39" s="23" t="str">
        <f>IF(5&lt;=$D$2,SUMIFS(PEMBAYARAN!$E$4:$E$500,PEMBAYARAN!$A$4:$A$500,$B39,PEMBAYARAN!$B$4:$B$500,"September",PEMBAYARAN!$C$4:$C$500,"Minggu 5"),"")</f>
        <v/>
      </c>
      <c r="H39" s="23">
        <f t="shared" si="0"/>
        <v>20000</v>
      </c>
      <c r="I39" s="23">
        <f t="shared" si="1"/>
        <v>0</v>
      </c>
      <c r="J39" s="23">
        <f t="shared" si="2"/>
        <v>20000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-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IF(1&lt;=$D$2,SUMIFS(PEMBAYARAN!$E$4:$E$500,PEMBAYARAN!$A$4:$A$500,$B40,PEMBAYARAN!$B$4:$B$500,"September",PEMBAYARAN!$C$4:$C$500,"Minggu 1"),"")</f>
        <v>0</v>
      </c>
      <c r="D40" s="23">
        <f>IF(2&lt;=$D$2,SUMIFS(PEMBAYARAN!$E$4:$E$500,PEMBAYARAN!$A$4:$A$500,$B40,PEMBAYARAN!$B$4:$B$500,"September",PEMBAYARAN!$C$4:$C$500,"Minggu 2"),"")</f>
        <v>0</v>
      </c>
      <c r="E40" s="23">
        <f>IF(3&lt;=$D$2,SUMIFS(PEMBAYARAN!$E$4:$E$500,PEMBAYARAN!$A$4:$A$500,$B40,PEMBAYARAN!$B$4:$B$500,"September",PEMBAYARAN!$C$4:$C$500,"Minggu 3"),"")</f>
        <v>0</v>
      </c>
      <c r="F40" s="23">
        <f>IF(4&lt;=$D$2,SUMIFS(PEMBAYARAN!$E$4:$E$500,PEMBAYARAN!$A$4:$A$500,$B40,PEMBAYARAN!$B$4:$B$500,"September",PEMBAYARAN!$C$4:$C$500,"Minggu 4"),"")</f>
        <v>0</v>
      </c>
      <c r="G40" s="23" t="str">
        <f>IF(5&lt;=$D$2,SUMIFS(PEMBAYARAN!$E$4:$E$500,PEMBAYARAN!$A$4:$A$500,$B40,PEMBAYARAN!$B$4:$B$500,"September",PEMBAYARAN!$C$4:$C$500,"Minggu 5"),"")</f>
        <v/>
      </c>
      <c r="H40" s="23">
        <f t="shared" si="0"/>
        <v>20000</v>
      </c>
      <c r="I40" s="23">
        <f t="shared" si="1"/>
        <v>0</v>
      </c>
      <c r="J40" s="23">
        <f t="shared" si="2"/>
        <v>20000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-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IF(1&lt;=$D$2,SUMIFS(PEMBAYARAN!$E$4:$E$500,PEMBAYARAN!$A$4:$A$500,$B41,PEMBAYARAN!$B$4:$B$500,"September",PEMBAYARAN!$C$4:$C$500,"Minggu 1"),"")</f>
        <v>0</v>
      </c>
      <c r="D41" s="23">
        <f>IF(2&lt;=$D$2,SUMIFS(PEMBAYARAN!$E$4:$E$500,PEMBAYARAN!$A$4:$A$500,$B41,PEMBAYARAN!$B$4:$B$500,"September",PEMBAYARAN!$C$4:$C$500,"Minggu 2"),"")</f>
        <v>0</v>
      </c>
      <c r="E41" s="23">
        <f>IF(3&lt;=$D$2,SUMIFS(PEMBAYARAN!$E$4:$E$500,PEMBAYARAN!$A$4:$A$500,$B41,PEMBAYARAN!$B$4:$B$500,"September",PEMBAYARAN!$C$4:$C$500,"Minggu 3"),"")</f>
        <v>0</v>
      </c>
      <c r="F41" s="23">
        <f>IF(4&lt;=$D$2,SUMIFS(PEMBAYARAN!$E$4:$E$500,PEMBAYARAN!$A$4:$A$500,$B41,PEMBAYARAN!$B$4:$B$500,"September",PEMBAYARAN!$C$4:$C$500,"Minggu 4"),"")</f>
        <v>0</v>
      </c>
      <c r="G41" s="23" t="str">
        <f>IF(5&lt;=$D$2,SUMIFS(PEMBAYARAN!$E$4:$E$500,PEMBAYARAN!$A$4:$A$500,$B41,PEMBAYARAN!$B$4:$B$500,"September",PEMBAYARAN!$C$4:$C$500,"Minggu 5"),"")</f>
        <v/>
      </c>
      <c r="H41" s="23">
        <f t="shared" si="0"/>
        <v>20000</v>
      </c>
      <c r="I41" s="23">
        <f t="shared" si="1"/>
        <v>0</v>
      </c>
      <c r="J41" s="23">
        <f t="shared" si="2"/>
        <v>20000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-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IF(1&lt;=$D$2,SUMIFS(PEMBAYARAN!$E$4:$E$500,PEMBAYARAN!$A$4:$A$500,$B42,PEMBAYARAN!$B$4:$B$500,"September",PEMBAYARAN!$C$4:$C$500,"Minggu 1"),"")</f>
        <v>0</v>
      </c>
      <c r="D42" s="23">
        <f>IF(2&lt;=$D$2,SUMIFS(PEMBAYARAN!$E$4:$E$500,PEMBAYARAN!$A$4:$A$500,$B42,PEMBAYARAN!$B$4:$B$500,"September",PEMBAYARAN!$C$4:$C$500,"Minggu 2"),"")</f>
        <v>0</v>
      </c>
      <c r="E42" s="23">
        <f>IF(3&lt;=$D$2,SUMIFS(PEMBAYARAN!$E$4:$E$500,PEMBAYARAN!$A$4:$A$500,$B42,PEMBAYARAN!$B$4:$B$500,"September",PEMBAYARAN!$C$4:$C$500,"Minggu 3"),"")</f>
        <v>0</v>
      </c>
      <c r="F42" s="23">
        <f>IF(4&lt;=$D$2,SUMIFS(PEMBAYARAN!$E$4:$E$500,PEMBAYARAN!$A$4:$A$500,$B42,PEMBAYARAN!$B$4:$B$500,"September",PEMBAYARAN!$C$4:$C$500,"Minggu 4"),"")</f>
        <v>0</v>
      </c>
      <c r="G42" s="23" t="str">
        <f>IF(5&lt;=$D$2,SUMIFS(PEMBAYARAN!$E$4:$E$500,PEMBAYARAN!$A$4:$A$500,$B42,PEMBAYARAN!$B$4:$B$500,"September",PEMBAYARAN!$C$4:$C$500,"Minggu 5"),"")</f>
        <v/>
      </c>
      <c r="H42" s="23">
        <f t="shared" si="0"/>
        <v>20000</v>
      </c>
      <c r="I42" s="23">
        <f t="shared" si="1"/>
        <v>0</v>
      </c>
      <c r="J42" s="23">
        <f t="shared" si="2"/>
        <v>20000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-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IF(1&lt;=$D$2,SUMIFS(PEMBAYARAN!$E$4:$E$500,PEMBAYARAN!$A$4:$A$500,$B43,PEMBAYARAN!$B$4:$B$500,"September",PEMBAYARAN!$C$4:$C$500,"Minggu 1"),"")</f>
        <v>0</v>
      </c>
      <c r="D43" s="23">
        <f>IF(2&lt;=$D$2,SUMIFS(PEMBAYARAN!$E$4:$E$500,PEMBAYARAN!$A$4:$A$500,$B43,PEMBAYARAN!$B$4:$B$500,"September",PEMBAYARAN!$C$4:$C$500,"Minggu 2"),"")</f>
        <v>0</v>
      </c>
      <c r="E43" s="23">
        <f>IF(3&lt;=$D$2,SUMIFS(PEMBAYARAN!$E$4:$E$500,PEMBAYARAN!$A$4:$A$500,$B43,PEMBAYARAN!$B$4:$B$500,"September",PEMBAYARAN!$C$4:$C$500,"Minggu 3"),"")</f>
        <v>0</v>
      </c>
      <c r="F43" s="23">
        <f>IF(4&lt;=$D$2,SUMIFS(PEMBAYARAN!$E$4:$E$500,PEMBAYARAN!$A$4:$A$500,$B43,PEMBAYARAN!$B$4:$B$500,"September",PEMBAYARAN!$C$4:$C$500,"Minggu 4"),"")</f>
        <v>0</v>
      </c>
      <c r="G43" s="23" t="str">
        <f>IF(5&lt;=$D$2,SUMIFS(PEMBAYARAN!$E$4:$E$500,PEMBAYARAN!$A$4:$A$500,$B43,PEMBAYARAN!$B$4:$B$500,"September",PEMBAYARAN!$C$4:$C$500,"Minggu 5"),"")</f>
        <v/>
      </c>
      <c r="H43" s="23">
        <f t="shared" si="0"/>
        <v>20000</v>
      </c>
      <c r="I43" s="23">
        <f t="shared" si="1"/>
        <v>0</v>
      </c>
      <c r="J43" s="23">
        <f t="shared" si="2"/>
        <v>20000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-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IF(1&lt;=$D$2,SUMIFS(PEMBAYARAN!$E$4:$E$500,PEMBAYARAN!$A$4:$A$500,$B44,PEMBAYARAN!$B$4:$B$500,"September",PEMBAYARAN!$C$4:$C$500,"Minggu 1"),"")</f>
        <v>0</v>
      </c>
      <c r="D44" s="23">
        <f>IF(2&lt;=$D$2,SUMIFS(PEMBAYARAN!$E$4:$E$500,PEMBAYARAN!$A$4:$A$500,$B44,PEMBAYARAN!$B$4:$B$500,"September",PEMBAYARAN!$C$4:$C$500,"Minggu 2"),"")</f>
        <v>0</v>
      </c>
      <c r="E44" s="23">
        <f>IF(3&lt;=$D$2,SUMIFS(PEMBAYARAN!$E$4:$E$500,PEMBAYARAN!$A$4:$A$500,$B44,PEMBAYARAN!$B$4:$B$500,"September",PEMBAYARAN!$C$4:$C$500,"Minggu 3"),"")</f>
        <v>0</v>
      </c>
      <c r="F44" s="23">
        <f>IF(4&lt;=$D$2,SUMIFS(PEMBAYARAN!$E$4:$E$500,PEMBAYARAN!$A$4:$A$500,$B44,PEMBAYARAN!$B$4:$B$500,"September",PEMBAYARAN!$C$4:$C$500,"Minggu 4"),"")</f>
        <v>0</v>
      </c>
      <c r="G44" s="23" t="str">
        <f>IF(5&lt;=$D$2,SUMIFS(PEMBAYARAN!$E$4:$E$500,PEMBAYARAN!$A$4:$A$500,$B44,PEMBAYARAN!$B$4:$B$500,"September",PEMBAYARAN!$C$4:$C$500,"Minggu 5"),"")</f>
        <v/>
      </c>
      <c r="H44" s="23">
        <f t="shared" si="0"/>
        <v>20000</v>
      </c>
      <c r="I44" s="23">
        <f t="shared" si="1"/>
        <v>0</v>
      </c>
      <c r="J44" s="23">
        <f t="shared" si="2"/>
        <v>20000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-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IF(1&lt;=$D$2,SUMIFS(PEMBAYARAN!$E$4:$E$500,PEMBAYARAN!$A$4:$A$500,$B45,PEMBAYARAN!$B$4:$B$500,"September",PEMBAYARAN!$C$4:$C$500,"Minggu 1"),"")</f>
        <v>0</v>
      </c>
      <c r="D45" s="23">
        <f>IF(2&lt;=$D$2,SUMIFS(PEMBAYARAN!$E$4:$E$500,PEMBAYARAN!$A$4:$A$500,$B45,PEMBAYARAN!$B$4:$B$500,"September",PEMBAYARAN!$C$4:$C$500,"Minggu 2"),"")</f>
        <v>0</v>
      </c>
      <c r="E45" s="23">
        <f>IF(3&lt;=$D$2,SUMIFS(PEMBAYARAN!$E$4:$E$500,PEMBAYARAN!$A$4:$A$500,$B45,PEMBAYARAN!$B$4:$B$500,"September",PEMBAYARAN!$C$4:$C$500,"Minggu 3"),"")</f>
        <v>0</v>
      </c>
      <c r="F45" s="23">
        <f>IF(4&lt;=$D$2,SUMIFS(PEMBAYARAN!$E$4:$E$500,PEMBAYARAN!$A$4:$A$500,$B45,PEMBAYARAN!$B$4:$B$500,"September",PEMBAYARAN!$C$4:$C$500,"Minggu 4"),"")</f>
        <v>0</v>
      </c>
      <c r="G45" s="23" t="str">
        <f>IF(5&lt;=$D$2,SUMIFS(PEMBAYARAN!$E$4:$E$500,PEMBAYARAN!$A$4:$A$500,$B45,PEMBAYARAN!$B$4:$B$500,"September",PEMBAYARAN!$C$4:$C$500,"Minggu 5"),"")</f>
        <v/>
      </c>
      <c r="H45" s="23">
        <f t="shared" si="0"/>
        <v>20000</v>
      </c>
      <c r="I45" s="23">
        <f t="shared" si="1"/>
        <v>0</v>
      </c>
      <c r="J45" s="23">
        <f t="shared" si="2"/>
        <v>20000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-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820000</v>
      </c>
      <c r="I47" s="31">
        <f>SUM(I5:I45)</f>
        <v>25000</v>
      </c>
      <c r="J47" s="31">
        <f>SUM(J5:J45)</f>
        <v>795000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3</v>
      </c>
    </row>
    <row r="50" spans="2:4" x14ac:dyDescent="0.3">
      <c r="B50" s="16" t="s">
        <v>162</v>
      </c>
      <c r="D50" s="15">
        <f>COUNTIF(L5:L45,"BELUM BAYAR")</f>
        <v>38</v>
      </c>
    </row>
  </sheetData>
  <autoFilter ref="A4:Q45" xr:uid="{00000000-0009-0000-0000-000005000000}"/>
  <mergeCells count="2">
    <mergeCell ref="A1:L1"/>
    <mergeCell ref="A2:C2"/>
  </mergeCells>
  <conditionalFormatting sqref="L5:L45">
    <cfRule type="expression" dxfId="32" priority="2">
      <formula>LEFT(L5,5)="LUNAS"</formula>
    </cfRule>
    <cfRule type="cellIs" dxfId="31" priority="3" operator="equal">
      <formula>"CICILAN"</formula>
    </cfRule>
    <cfRule type="cellIs" dxfId="30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5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IF(1&lt;=$D$2,SUMIFS(PEMBAYARAN!$E$4:$E$500,PEMBAYARAN!$A$4:$A$500,$B5,PEMBAYARAN!$B$4:$B$500,"Oktober",PEMBAYARAN!$C$4:$C$500,"Minggu 1"),"")</f>
        <v>0</v>
      </c>
      <c r="D5" s="23">
        <f>IF(2&lt;=$D$2,SUMIFS(PEMBAYARAN!$E$4:$E$500,PEMBAYARAN!$A$4:$A$500,$B5,PEMBAYARAN!$B$4:$B$500,"Oktober",PEMBAYARAN!$C$4:$C$500,"Minggu 2"),"")</f>
        <v>0</v>
      </c>
      <c r="E5" s="23">
        <f>IF(3&lt;=$D$2,SUMIFS(PEMBAYARAN!$E$4:$E$500,PEMBAYARAN!$A$4:$A$500,$B5,PEMBAYARAN!$B$4:$B$500,"Oktober",PEMBAYARAN!$C$4:$C$500,"Minggu 3"),"")</f>
        <v>0</v>
      </c>
      <c r="F5" s="23">
        <f>IF(4&lt;=$D$2,SUMIFS(PEMBAYARAN!$E$4:$E$500,PEMBAYARAN!$A$4:$A$500,$B5,PEMBAYARAN!$B$4:$B$500,"Oktober",PEMBAYARAN!$C$4:$C$500,"Minggu 4"),"")</f>
        <v>0</v>
      </c>
      <c r="G5" s="23">
        <f>IF(5&lt;=$D$2,SUMIFS(PEMBAYARAN!$E$4:$E$500,PEMBAYARAN!$A$4:$A$500,$B5,PEMBAYARAN!$B$4:$B$500,"Oktober",PEMBAYARAN!$C$4:$C$500,"Minggu 5"),"")</f>
        <v>0</v>
      </c>
      <c r="H5" s="23">
        <f t="shared" ref="H5:H45" si="0">MIN($D$2,5)*$F$2</f>
        <v>25000</v>
      </c>
      <c r="I5" s="23">
        <f t="shared" ref="I5:I45" si="1">SUM(C5:G5)</f>
        <v>0</v>
      </c>
      <c r="J5" s="23">
        <f t="shared" ref="J5:J45" si="2">MAX(H5-I5,0)</f>
        <v>25000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BELUM BAYAR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IF(1&lt;=$D$2,SUMIFS(PEMBAYARAN!$E$4:$E$500,PEMBAYARAN!$A$4:$A$500,$B6,PEMBAYARAN!$B$4:$B$500,"Oktober",PEMBAYARAN!$C$4:$C$500,"Minggu 1"),"")</f>
        <v>0</v>
      </c>
      <c r="D6" s="23">
        <f>IF(2&lt;=$D$2,SUMIFS(PEMBAYARAN!$E$4:$E$500,PEMBAYARAN!$A$4:$A$500,$B6,PEMBAYARAN!$B$4:$B$500,"Oktober",PEMBAYARAN!$C$4:$C$500,"Minggu 2"),"")</f>
        <v>0</v>
      </c>
      <c r="E6" s="23">
        <f>IF(3&lt;=$D$2,SUMIFS(PEMBAYARAN!$E$4:$E$500,PEMBAYARAN!$A$4:$A$500,$B6,PEMBAYARAN!$B$4:$B$500,"Oktober",PEMBAYARAN!$C$4:$C$500,"Minggu 3"),"")</f>
        <v>0</v>
      </c>
      <c r="F6" s="23">
        <f>IF(4&lt;=$D$2,SUMIFS(PEMBAYARAN!$E$4:$E$500,PEMBAYARAN!$A$4:$A$500,$B6,PEMBAYARAN!$B$4:$B$500,"Oktober",PEMBAYARAN!$C$4:$C$500,"Minggu 4"),"")</f>
        <v>0</v>
      </c>
      <c r="G6" s="23">
        <f>IF(5&lt;=$D$2,SUMIFS(PEMBAYARAN!$E$4:$E$500,PEMBAYARAN!$A$4:$A$500,$B6,PEMBAYARAN!$B$4:$B$500,"Oktober",PEMBAYARAN!$C$4:$C$500,"Minggu 5"),"")</f>
        <v>0</v>
      </c>
      <c r="H6" s="23">
        <f t="shared" si="0"/>
        <v>25000</v>
      </c>
      <c r="I6" s="23">
        <f t="shared" si="1"/>
        <v>0</v>
      </c>
      <c r="J6" s="23">
        <f t="shared" si="2"/>
        <v>25000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BELUM BAYAR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IF(1&lt;=$D$2,SUMIFS(PEMBAYARAN!$E$4:$E$500,PEMBAYARAN!$A$4:$A$500,$B7,PEMBAYARAN!$B$4:$B$500,"Oktober",PEMBAYARAN!$C$4:$C$500,"Minggu 1"),"")</f>
        <v>0</v>
      </c>
      <c r="D7" s="23">
        <f>IF(2&lt;=$D$2,SUMIFS(PEMBAYARAN!$E$4:$E$500,PEMBAYARAN!$A$4:$A$500,$B7,PEMBAYARAN!$B$4:$B$500,"Oktober",PEMBAYARAN!$C$4:$C$500,"Minggu 2"),"")</f>
        <v>0</v>
      </c>
      <c r="E7" s="23">
        <f>IF(3&lt;=$D$2,SUMIFS(PEMBAYARAN!$E$4:$E$500,PEMBAYARAN!$A$4:$A$500,$B7,PEMBAYARAN!$B$4:$B$500,"Oktober",PEMBAYARAN!$C$4:$C$500,"Minggu 3"),"")</f>
        <v>0</v>
      </c>
      <c r="F7" s="23">
        <f>IF(4&lt;=$D$2,SUMIFS(PEMBAYARAN!$E$4:$E$500,PEMBAYARAN!$A$4:$A$500,$B7,PEMBAYARAN!$B$4:$B$500,"Oktober",PEMBAYARAN!$C$4:$C$500,"Minggu 4"),"")</f>
        <v>0</v>
      </c>
      <c r="G7" s="23">
        <f>IF(5&lt;=$D$2,SUMIFS(PEMBAYARAN!$E$4:$E$500,PEMBAYARAN!$A$4:$A$500,$B7,PEMBAYARAN!$B$4:$B$500,"Oktober",PEMBAYARAN!$C$4:$C$500,"Minggu 5"),"")</f>
        <v>0</v>
      </c>
      <c r="H7" s="23">
        <f t="shared" si="0"/>
        <v>25000</v>
      </c>
      <c r="I7" s="23">
        <f t="shared" si="1"/>
        <v>0</v>
      </c>
      <c r="J7" s="23">
        <f t="shared" si="2"/>
        <v>25000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BELUM BAYAR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IF(1&lt;=$D$2,SUMIFS(PEMBAYARAN!$E$4:$E$500,PEMBAYARAN!$A$4:$A$500,$B8,PEMBAYARAN!$B$4:$B$500,"Oktober",PEMBAYARAN!$C$4:$C$500,"Minggu 1"),"")</f>
        <v>0</v>
      </c>
      <c r="D8" s="23">
        <f>IF(2&lt;=$D$2,SUMIFS(PEMBAYARAN!$E$4:$E$500,PEMBAYARAN!$A$4:$A$500,$B8,PEMBAYARAN!$B$4:$B$500,"Oktober",PEMBAYARAN!$C$4:$C$500,"Minggu 2"),"")</f>
        <v>0</v>
      </c>
      <c r="E8" s="23">
        <f>IF(3&lt;=$D$2,SUMIFS(PEMBAYARAN!$E$4:$E$500,PEMBAYARAN!$A$4:$A$500,$B8,PEMBAYARAN!$B$4:$B$500,"Oktober",PEMBAYARAN!$C$4:$C$500,"Minggu 3"),"")</f>
        <v>0</v>
      </c>
      <c r="F8" s="23">
        <f>IF(4&lt;=$D$2,SUMIFS(PEMBAYARAN!$E$4:$E$500,PEMBAYARAN!$A$4:$A$500,$B8,PEMBAYARAN!$B$4:$B$500,"Oktober",PEMBAYARAN!$C$4:$C$500,"Minggu 4"),"")</f>
        <v>0</v>
      </c>
      <c r="G8" s="23">
        <f>IF(5&lt;=$D$2,SUMIFS(PEMBAYARAN!$E$4:$E$500,PEMBAYARAN!$A$4:$A$500,$B8,PEMBAYARAN!$B$4:$B$500,"Oktober",PEMBAYARAN!$C$4:$C$500,"Minggu 5"),"")</f>
        <v>0</v>
      </c>
      <c r="H8" s="23">
        <f t="shared" si="0"/>
        <v>25000</v>
      </c>
      <c r="I8" s="23">
        <f t="shared" si="1"/>
        <v>0</v>
      </c>
      <c r="J8" s="23">
        <f t="shared" si="2"/>
        <v>25000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BELUM BAYAR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IF(1&lt;=$D$2,SUMIFS(PEMBAYARAN!$E$4:$E$500,PEMBAYARAN!$A$4:$A$500,$B9,PEMBAYARAN!$B$4:$B$500,"Oktober",PEMBAYARAN!$C$4:$C$500,"Minggu 1"),"")</f>
        <v>0</v>
      </c>
      <c r="D9" s="23">
        <f>IF(2&lt;=$D$2,SUMIFS(PEMBAYARAN!$E$4:$E$500,PEMBAYARAN!$A$4:$A$500,$B9,PEMBAYARAN!$B$4:$B$500,"Oktober",PEMBAYARAN!$C$4:$C$500,"Minggu 2"),"")</f>
        <v>0</v>
      </c>
      <c r="E9" s="23">
        <f>IF(3&lt;=$D$2,SUMIFS(PEMBAYARAN!$E$4:$E$500,PEMBAYARAN!$A$4:$A$500,$B9,PEMBAYARAN!$B$4:$B$500,"Oktober",PEMBAYARAN!$C$4:$C$500,"Minggu 3"),"")</f>
        <v>0</v>
      </c>
      <c r="F9" s="23">
        <f>IF(4&lt;=$D$2,SUMIFS(PEMBAYARAN!$E$4:$E$500,PEMBAYARAN!$A$4:$A$500,$B9,PEMBAYARAN!$B$4:$B$500,"Oktober",PEMBAYARAN!$C$4:$C$500,"Minggu 4"),"")</f>
        <v>0</v>
      </c>
      <c r="G9" s="23">
        <f>IF(5&lt;=$D$2,SUMIFS(PEMBAYARAN!$E$4:$E$500,PEMBAYARAN!$A$4:$A$500,$B9,PEMBAYARAN!$B$4:$B$500,"Oktober",PEMBAYARAN!$C$4:$C$500,"Minggu 5"),"")</f>
        <v>0</v>
      </c>
      <c r="H9" s="23">
        <f t="shared" si="0"/>
        <v>25000</v>
      </c>
      <c r="I9" s="23">
        <f t="shared" si="1"/>
        <v>0</v>
      </c>
      <c r="J9" s="23">
        <f t="shared" si="2"/>
        <v>25000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BELUM BAYAR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IF(1&lt;=$D$2,SUMIFS(PEMBAYARAN!$E$4:$E$500,PEMBAYARAN!$A$4:$A$500,$B10,PEMBAYARAN!$B$4:$B$500,"Oktober",PEMBAYARAN!$C$4:$C$500,"Minggu 1"),"")</f>
        <v>0</v>
      </c>
      <c r="D10" s="23">
        <f>IF(2&lt;=$D$2,SUMIFS(PEMBAYARAN!$E$4:$E$500,PEMBAYARAN!$A$4:$A$500,$B10,PEMBAYARAN!$B$4:$B$500,"Oktober",PEMBAYARAN!$C$4:$C$500,"Minggu 2"),"")</f>
        <v>0</v>
      </c>
      <c r="E10" s="23">
        <f>IF(3&lt;=$D$2,SUMIFS(PEMBAYARAN!$E$4:$E$500,PEMBAYARAN!$A$4:$A$500,$B10,PEMBAYARAN!$B$4:$B$500,"Oktober",PEMBAYARAN!$C$4:$C$500,"Minggu 3"),"")</f>
        <v>0</v>
      </c>
      <c r="F10" s="23">
        <f>IF(4&lt;=$D$2,SUMIFS(PEMBAYARAN!$E$4:$E$500,PEMBAYARAN!$A$4:$A$500,$B10,PEMBAYARAN!$B$4:$B$500,"Oktober",PEMBAYARAN!$C$4:$C$500,"Minggu 4"),"")</f>
        <v>0</v>
      </c>
      <c r="G10" s="23">
        <f>IF(5&lt;=$D$2,SUMIFS(PEMBAYARAN!$E$4:$E$500,PEMBAYARAN!$A$4:$A$500,$B10,PEMBAYARAN!$B$4:$B$500,"Oktober",PEMBAYARAN!$C$4:$C$500,"Minggu 5"),"")</f>
        <v>0</v>
      </c>
      <c r="H10" s="23">
        <f t="shared" si="0"/>
        <v>25000</v>
      </c>
      <c r="I10" s="23">
        <f t="shared" si="1"/>
        <v>0</v>
      </c>
      <c r="J10" s="23">
        <f t="shared" si="2"/>
        <v>25000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BELUM BAYAR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IF(1&lt;=$D$2,SUMIFS(PEMBAYARAN!$E$4:$E$500,PEMBAYARAN!$A$4:$A$500,$B11,PEMBAYARAN!$B$4:$B$500,"Oktober",PEMBAYARAN!$C$4:$C$500,"Minggu 1"),"")</f>
        <v>0</v>
      </c>
      <c r="D11" s="23">
        <f>IF(2&lt;=$D$2,SUMIFS(PEMBAYARAN!$E$4:$E$500,PEMBAYARAN!$A$4:$A$500,$B11,PEMBAYARAN!$B$4:$B$500,"Oktober",PEMBAYARAN!$C$4:$C$500,"Minggu 2"),"")</f>
        <v>0</v>
      </c>
      <c r="E11" s="23">
        <f>IF(3&lt;=$D$2,SUMIFS(PEMBAYARAN!$E$4:$E$500,PEMBAYARAN!$A$4:$A$500,$B11,PEMBAYARAN!$B$4:$B$500,"Oktober",PEMBAYARAN!$C$4:$C$500,"Minggu 3"),"")</f>
        <v>0</v>
      </c>
      <c r="F11" s="23">
        <f>IF(4&lt;=$D$2,SUMIFS(PEMBAYARAN!$E$4:$E$500,PEMBAYARAN!$A$4:$A$500,$B11,PEMBAYARAN!$B$4:$B$500,"Oktober",PEMBAYARAN!$C$4:$C$500,"Minggu 4"),"")</f>
        <v>0</v>
      </c>
      <c r="G11" s="23">
        <f>IF(5&lt;=$D$2,SUMIFS(PEMBAYARAN!$E$4:$E$500,PEMBAYARAN!$A$4:$A$500,$B11,PEMBAYARAN!$B$4:$B$500,"Oktober",PEMBAYARAN!$C$4:$C$500,"Minggu 5"),"")</f>
        <v>0</v>
      </c>
      <c r="H11" s="23">
        <f t="shared" si="0"/>
        <v>25000</v>
      </c>
      <c r="I11" s="23">
        <f t="shared" si="1"/>
        <v>0</v>
      </c>
      <c r="J11" s="23">
        <f t="shared" si="2"/>
        <v>25000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BELUM BAYAR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IF(1&lt;=$D$2,SUMIFS(PEMBAYARAN!$E$4:$E$500,PEMBAYARAN!$A$4:$A$500,$B12,PEMBAYARAN!$B$4:$B$500,"Oktober",PEMBAYARAN!$C$4:$C$500,"Minggu 1"),"")</f>
        <v>0</v>
      </c>
      <c r="D12" s="23">
        <f>IF(2&lt;=$D$2,SUMIFS(PEMBAYARAN!$E$4:$E$500,PEMBAYARAN!$A$4:$A$500,$B12,PEMBAYARAN!$B$4:$B$500,"Oktober",PEMBAYARAN!$C$4:$C$500,"Minggu 2"),"")</f>
        <v>0</v>
      </c>
      <c r="E12" s="23">
        <f>IF(3&lt;=$D$2,SUMIFS(PEMBAYARAN!$E$4:$E$500,PEMBAYARAN!$A$4:$A$500,$B12,PEMBAYARAN!$B$4:$B$500,"Oktober",PEMBAYARAN!$C$4:$C$500,"Minggu 3"),"")</f>
        <v>0</v>
      </c>
      <c r="F12" s="23">
        <f>IF(4&lt;=$D$2,SUMIFS(PEMBAYARAN!$E$4:$E$500,PEMBAYARAN!$A$4:$A$500,$B12,PEMBAYARAN!$B$4:$B$500,"Oktober",PEMBAYARAN!$C$4:$C$500,"Minggu 4"),"")</f>
        <v>0</v>
      </c>
      <c r="G12" s="23">
        <f>IF(5&lt;=$D$2,SUMIFS(PEMBAYARAN!$E$4:$E$500,PEMBAYARAN!$A$4:$A$500,$B12,PEMBAYARAN!$B$4:$B$500,"Oktober",PEMBAYARAN!$C$4:$C$500,"Minggu 5"),"")</f>
        <v>0</v>
      </c>
      <c r="H12" s="23">
        <f t="shared" si="0"/>
        <v>25000</v>
      </c>
      <c r="I12" s="23">
        <f t="shared" si="1"/>
        <v>0</v>
      </c>
      <c r="J12" s="23">
        <f t="shared" si="2"/>
        <v>25000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BELUM BAYAR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IF(1&lt;=$D$2,SUMIFS(PEMBAYARAN!$E$4:$E$500,PEMBAYARAN!$A$4:$A$500,$B13,PEMBAYARAN!$B$4:$B$500,"Oktober",PEMBAYARAN!$C$4:$C$500,"Minggu 1"),"")</f>
        <v>0</v>
      </c>
      <c r="D13" s="23">
        <f>IF(2&lt;=$D$2,SUMIFS(PEMBAYARAN!$E$4:$E$500,PEMBAYARAN!$A$4:$A$500,$B13,PEMBAYARAN!$B$4:$B$500,"Oktober",PEMBAYARAN!$C$4:$C$500,"Minggu 2"),"")</f>
        <v>0</v>
      </c>
      <c r="E13" s="23">
        <f>IF(3&lt;=$D$2,SUMIFS(PEMBAYARAN!$E$4:$E$500,PEMBAYARAN!$A$4:$A$500,$B13,PEMBAYARAN!$B$4:$B$500,"Oktober",PEMBAYARAN!$C$4:$C$500,"Minggu 3"),"")</f>
        <v>0</v>
      </c>
      <c r="F13" s="23">
        <f>IF(4&lt;=$D$2,SUMIFS(PEMBAYARAN!$E$4:$E$500,PEMBAYARAN!$A$4:$A$500,$B13,PEMBAYARAN!$B$4:$B$500,"Oktober",PEMBAYARAN!$C$4:$C$500,"Minggu 4"),"")</f>
        <v>0</v>
      </c>
      <c r="G13" s="23">
        <f>IF(5&lt;=$D$2,SUMIFS(PEMBAYARAN!$E$4:$E$500,PEMBAYARAN!$A$4:$A$500,$B13,PEMBAYARAN!$B$4:$B$500,"Oktober",PEMBAYARAN!$C$4:$C$500,"Minggu 5"),"")</f>
        <v>0</v>
      </c>
      <c r="H13" s="23">
        <f t="shared" si="0"/>
        <v>25000</v>
      </c>
      <c r="I13" s="23">
        <f t="shared" si="1"/>
        <v>0</v>
      </c>
      <c r="J13" s="23">
        <f t="shared" si="2"/>
        <v>25000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BELUM BAYAR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IF(1&lt;=$D$2,SUMIFS(PEMBAYARAN!$E$4:$E$500,PEMBAYARAN!$A$4:$A$500,$B14,PEMBAYARAN!$B$4:$B$500,"Oktober",PEMBAYARAN!$C$4:$C$500,"Minggu 1"),"")</f>
        <v>0</v>
      </c>
      <c r="D14" s="23">
        <f>IF(2&lt;=$D$2,SUMIFS(PEMBAYARAN!$E$4:$E$500,PEMBAYARAN!$A$4:$A$500,$B14,PEMBAYARAN!$B$4:$B$500,"Oktober",PEMBAYARAN!$C$4:$C$500,"Minggu 2"),"")</f>
        <v>0</v>
      </c>
      <c r="E14" s="23">
        <f>IF(3&lt;=$D$2,SUMIFS(PEMBAYARAN!$E$4:$E$500,PEMBAYARAN!$A$4:$A$500,$B14,PEMBAYARAN!$B$4:$B$500,"Oktober",PEMBAYARAN!$C$4:$C$500,"Minggu 3"),"")</f>
        <v>0</v>
      </c>
      <c r="F14" s="23">
        <f>IF(4&lt;=$D$2,SUMIFS(PEMBAYARAN!$E$4:$E$500,PEMBAYARAN!$A$4:$A$500,$B14,PEMBAYARAN!$B$4:$B$500,"Oktober",PEMBAYARAN!$C$4:$C$500,"Minggu 4"),"")</f>
        <v>0</v>
      </c>
      <c r="G14" s="23">
        <f>IF(5&lt;=$D$2,SUMIFS(PEMBAYARAN!$E$4:$E$500,PEMBAYARAN!$A$4:$A$500,$B14,PEMBAYARAN!$B$4:$B$500,"Oktober",PEMBAYARAN!$C$4:$C$500,"Minggu 5"),"")</f>
        <v>0</v>
      </c>
      <c r="H14" s="23">
        <f t="shared" si="0"/>
        <v>25000</v>
      </c>
      <c r="I14" s="23">
        <f t="shared" si="1"/>
        <v>0</v>
      </c>
      <c r="J14" s="23">
        <f t="shared" si="2"/>
        <v>25000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BELUM BAYAR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IF(1&lt;=$D$2,SUMIFS(PEMBAYARAN!$E$4:$E$500,PEMBAYARAN!$A$4:$A$500,$B15,PEMBAYARAN!$B$4:$B$500,"Oktober",PEMBAYARAN!$C$4:$C$500,"Minggu 1"),"")</f>
        <v>0</v>
      </c>
      <c r="D15" s="23">
        <f>IF(2&lt;=$D$2,SUMIFS(PEMBAYARAN!$E$4:$E$500,PEMBAYARAN!$A$4:$A$500,$B15,PEMBAYARAN!$B$4:$B$500,"Oktober",PEMBAYARAN!$C$4:$C$500,"Minggu 2"),"")</f>
        <v>0</v>
      </c>
      <c r="E15" s="23">
        <f>IF(3&lt;=$D$2,SUMIFS(PEMBAYARAN!$E$4:$E$500,PEMBAYARAN!$A$4:$A$500,$B15,PEMBAYARAN!$B$4:$B$500,"Oktober",PEMBAYARAN!$C$4:$C$500,"Minggu 3"),"")</f>
        <v>0</v>
      </c>
      <c r="F15" s="23">
        <f>IF(4&lt;=$D$2,SUMIFS(PEMBAYARAN!$E$4:$E$500,PEMBAYARAN!$A$4:$A$500,$B15,PEMBAYARAN!$B$4:$B$500,"Oktober",PEMBAYARAN!$C$4:$C$500,"Minggu 4"),"")</f>
        <v>0</v>
      </c>
      <c r="G15" s="23">
        <f>IF(5&lt;=$D$2,SUMIFS(PEMBAYARAN!$E$4:$E$500,PEMBAYARAN!$A$4:$A$500,$B15,PEMBAYARAN!$B$4:$B$500,"Oktober",PEMBAYARAN!$C$4:$C$500,"Minggu 5"),"")</f>
        <v>0</v>
      </c>
      <c r="H15" s="23">
        <f t="shared" si="0"/>
        <v>25000</v>
      </c>
      <c r="I15" s="23">
        <f t="shared" si="1"/>
        <v>0</v>
      </c>
      <c r="J15" s="23">
        <f t="shared" si="2"/>
        <v>25000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BELUM BAYAR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IF(1&lt;=$D$2,SUMIFS(PEMBAYARAN!$E$4:$E$500,PEMBAYARAN!$A$4:$A$500,$B16,PEMBAYARAN!$B$4:$B$500,"Oktober",PEMBAYARAN!$C$4:$C$500,"Minggu 1"),"")</f>
        <v>0</v>
      </c>
      <c r="D16" s="23">
        <f>IF(2&lt;=$D$2,SUMIFS(PEMBAYARAN!$E$4:$E$500,PEMBAYARAN!$A$4:$A$500,$B16,PEMBAYARAN!$B$4:$B$500,"Oktober",PEMBAYARAN!$C$4:$C$500,"Minggu 2"),"")</f>
        <v>0</v>
      </c>
      <c r="E16" s="23">
        <f>IF(3&lt;=$D$2,SUMIFS(PEMBAYARAN!$E$4:$E$500,PEMBAYARAN!$A$4:$A$500,$B16,PEMBAYARAN!$B$4:$B$500,"Oktober",PEMBAYARAN!$C$4:$C$500,"Minggu 3"),"")</f>
        <v>0</v>
      </c>
      <c r="F16" s="23">
        <f>IF(4&lt;=$D$2,SUMIFS(PEMBAYARAN!$E$4:$E$500,PEMBAYARAN!$A$4:$A$500,$B16,PEMBAYARAN!$B$4:$B$500,"Oktober",PEMBAYARAN!$C$4:$C$500,"Minggu 4"),"")</f>
        <v>0</v>
      </c>
      <c r="G16" s="23">
        <f>IF(5&lt;=$D$2,SUMIFS(PEMBAYARAN!$E$4:$E$500,PEMBAYARAN!$A$4:$A$500,$B16,PEMBAYARAN!$B$4:$B$500,"Oktober",PEMBAYARAN!$C$4:$C$500,"Minggu 5"),"")</f>
        <v>0</v>
      </c>
      <c r="H16" s="23">
        <f t="shared" si="0"/>
        <v>25000</v>
      </c>
      <c r="I16" s="23">
        <f t="shared" si="1"/>
        <v>0</v>
      </c>
      <c r="J16" s="23">
        <f t="shared" si="2"/>
        <v>25000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BELUM BAYAR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IF(1&lt;=$D$2,SUMIFS(PEMBAYARAN!$E$4:$E$500,PEMBAYARAN!$A$4:$A$500,$B17,PEMBAYARAN!$B$4:$B$500,"Oktober",PEMBAYARAN!$C$4:$C$500,"Minggu 1"),"")</f>
        <v>0</v>
      </c>
      <c r="D17" s="23">
        <f>IF(2&lt;=$D$2,SUMIFS(PEMBAYARAN!$E$4:$E$500,PEMBAYARAN!$A$4:$A$500,$B17,PEMBAYARAN!$B$4:$B$500,"Oktober",PEMBAYARAN!$C$4:$C$500,"Minggu 2"),"")</f>
        <v>0</v>
      </c>
      <c r="E17" s="23">
        <f>IF(3&lt;=$D$2,SUMIFS(PEMBAYARAN!$E$4:$E$500,PEMBAYARAN!$A$4:$A$500,$B17,PEMBAYARAN!$B$4:$B$500,"Oktober",PEMBAYARAN!$C$4:$C$500,"Minggu 3"),"")</f>
        <v>0</v>
      </c>
      <c r="F17" s="23">
        <f>IF(4&lt;=$D$2,SUMIFS(PEMBAYARAN!$E$4:$E$500,PEMBAYARAN!$A$4:$A$500,$B17,PEMBAYARAN!$B$4:$B$500,"Oktober",PEMBAYARAN!$C$4:$C$500,"Minggu 4"),"")</f>
        <v>0</v>
      </c>
      <c r="G17" s="23">
        <f>IF(5&lt;=$D$2,SUMIFS(PEMBAYARAN!$E$4:$E$500,PEMBAYARAN!$A$4:$A$500,$B17,PEMBAYARAN!$B$4:$B$500,"Oktober",PEMBAYARAN!$C$4:$C$500,"Minggu 5"),"")</f>
        <v>0</v>
      </c>
      <c r="H17" s="23">
        <f t="shared" si="0"/>
        <v>25000</v>
      </c>
      <c r="I17" s="23">
        <f t="shared" si="1"/>
        <v>0</v>
      </c>
      <c r="J17" s="23">
        <f t="shared" si="2"/>
        <v>25000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BELUM BAYAR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IF(1&lt;=$D$2,SUMIFS(PEMBAYARAN!$E$4:$E$500,PEMBAYARAN!$A$4:$A$500,$B18,PEMBAYARAN!$B$4:$B$500,"Oktober",PEMBAYARAN!$C$4:$C$500,"Minggu 1"),"")</f>
        <v>0</v>
      </c>
      <c r="D18" s="23">
        <f>IF(2&lt;=$D$2,SUMIFS(PEMBAYARAN!$E$4:$E$500,PEMBAYARAN!$A$4:$A$500,$B18,PEMBAYARAN!$B$4:$B$500,"Oktober",PEMBAYARAN!$C$4:$C$500,"Minggu 2"),"")</f>
        <v>0</v>
      </c>
      <c r="E18" s="23">
        <f>IF(3&lt;=$D$2,SUMIFS(PEMBAYARAN!$E$4:$E$500,PEMBAYARAN!$A$4:$A$500,$B18,PEMBAYARAN!$B$4:$B$500,"Oktober",PEMBAYARAN!$C$4:$C$500,"Minggu 3"),"")</f>
        <v>0</v>
      </c>
      <c r="F18" s="23">
        <f>IF(4&lt;=$D$2,SUMIFS(PEMBAYARAN!$E$4:$E$500,PEMBAYARAN!$A$4:$A$500,$B18,PEMBAYARAN!$B$4:$B$500,"Oktober",PEMBAYARAN!$C$4:$C$500,"Minggu 4"),"")</f>
        <v>0</v>
      </c>
      <c r="G18" s="23">
        <f>IF(5&lt;=$D$2,SUMIFS(PEMBAYARAN!$E$4:$E$500,PEMBAYARAN!$A$4:$A$500,$B18,PEMBAYARAN!$B$4:$B$500,"Oktober",PEMBAYARAN!$C$4:$C$500,"Minggu 5"),"")</f>
        <v>0</v>
      </c>
      <c r="H18" s="23">
        <f t="shared" si="0"/>
        <v>25000</v>
      </c>
      <c r="I18" s="23">
        <f t="shared" si="1"/>
        <v>0</v>
      </c>
      <c r="J18" s="23">
        <f t="shared" si="2"/>
        <v>25000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BELUM BAYAR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IF(1&lt;=$D$2,SUMIFS(PEMBAYARAN!$E$4:$E$500,PEMBAYARAN!$A$4:$A$500,$B19,PEMBAYARAN!$B$4:$B$500,"Oktober",PEMBAYARAN!$C$4:$C$500,"Minggu 1"),"")</f>
        <v>0</v>
      </c>
      <c r="D19" s="23">
        <f>IF(2&lt;=$D$2,SUMIFS(PEMBAYARAN!$E$4:$E$500,PEMBAYARAN!$A$4:$A$500,$B19,PEMBAYARAN!$B$4:$B$500,"Oktober",PEMBAYARAN!$C$4:$C$500,"Minggu 2"),"")</f>
        <v>0</v>
      </c>
      <c r="E19" s="23">
        <f>IF(3&lt;=$D$2,SUMIFS(PEMBAYARAN!$E$4:$E$500,PEMBAYARAN!$A$4:$A$500,$B19,PEMBAYARAN!$B$4:$B$500,"Oktober",PEMBAYARAN!$C$4:$C$500,"Minggu 3"),"")</f>
        <v>0</v>
      </c>
      <c r="F19" s="23">
        <f>IF(4&lt;=$D$2,SUMIFS(PEMBAYARAN!$E$4:$E$500,PEMBAYARAN!$A$4:$A$500,$B19,PEMBAYARAN!$B$4:$B$500,"Oktober",PEMBAYARAN!$C$4:$C$500,"Minggu 4"),"")</f>
        <v>0</v>
      </c>
      <c r="G19" s="23">
        <f>IF(5&lt;=$D$2,SUMIFS(PEMBAYARAN!$E$4:$E$500,PEMBAYARAN!$A$4:$A$500,$B19,PEMBAYARAN!$B$4:$B$500,"Oktober",PEMBAYARAN!$C$4:$C$500,"Minggu 5"),"")</f>
        <v>0</v>
      </c>
      <c r="H19" s="23">
        <f t="shared" si="0"/>
        <v>25000</v>
      </c>
      <c r="I19" s="23">
        <f t="shared" si="1"/>
        <v>0</v>
      </c>
      <c r="J19" s="23">
        <f t="shared" si="2"/>
        <v>25000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BELUM BAYAR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IF(1&lt;=$D$2,SUMIFS(PEMBAYARAN!$E$4:$E$500,PEMBAYARAN!$A$4:$A$500,$B20,PEMBAYARAN!$B$4:$B$500,"Oktober",PEMBAYARAN!$C$4:$C$500,"Minggu 1"),"")</f>
        <v>0</v>
      </c>
      <c r="D20" s="23">
        <f>IF(2&lt;=$D$2,SUMIFS(PEMBAYARAN!$E$4:$E$500,PEMBAYARAN!$A$4:$A$500,$B20,PEMBAYARAN!$B$4:$B$500,"Oktober",PEMBAYARAN!$C$4:$C$500,"Minggu 2"),"")</f>
        <v>0</v>
      </c>
      <c r="E20" s="23">
        <f>IF(3&lt;=$D$2,SUMIFS(PEMBAYARAN!$E$4:$E$500,PEMBAYARAN!$A$4:$A$500,$B20,PEMBAYARAN!$B$4:$B$500,"Oktober",PEMBAYARAN!$C$4:$C$500,"Minggu 3"),"")</f>
        <v>0</v>
      </c>
      <c r="F20" s="23">
        <f>IF(4&lt;=$D$2,SUMIFS(PEMBAYARAN!$E$4:$E$500,PEMBAYARAN!$A$4:$A$500,$B20,PEMBAYARAN!$B$4:$B$500,"Oktober",PEMBAYARAN!$C$4:$C$500,"Minggu 4"),"")</f>
        <v>0</v>
      </c>
      <c r="G20" s="23">
        <f>IF(5&lt;=$D$2,SUMIFS(PEMBAYARAN!$E$4:$E$500,PEMBAYARAN!$A$4:$A$500,$B20,PEMBAYARAN!$B$4:$B$500,"Oktober",PEMBAYARAN!$C$4:$C$500,"Minggu 5"),"")</f>
        <v>0</v>
      </c>
      <c r="H20" s="23">
        <f t="shared" si="0"/>
        <v>25000</v>
      </c>
      <c r="I20" s="23">
        <f t="shared" si="1"/>
        <v>0</v>
      </c>
      <c r="J20" s="23">
        <f t="shared" si="2"/>
        <v>25000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BELUM BAYAR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IF(1&lt;=$D$2,SUMIFS(PEMBAYARAN!$E$4:$E$500,PEMBAYARAN!$A$4:$A$500,$B21,PEMBAYARAN!$B$4:$B$500,"Oktober",PEMBAYARAN!$C$4:$C$500,"Minggu 1"),"")</f>
        <v>0</v>
      </c>
      <c r="D21" s="23">
        <f>IF(2&lt;=$D$2,SUMIFS(PEMBAYARAN!$E$4:$E$500,PEMBAYARAN!$A$4:$A$500,$B21,PEMBAYARAN!$B$4:$B$500,"Oktober",PEMBAYARAN!$C$4:$C$500,"Minggu 2"),"")</f>
        <v>0</v>
      </c>
      <c r="E21" s="23">
        <f>IF(3&lt;=$D$2,SUMIFS(PEMBAYARAN!$E$4:$E$500,PEMBAYARAN!$A$4:$A$500,$B21,PEMBAYARAN!$B$4:$B$500,"Oktober",PEMBAYARAN!$C$4:$C$500,"Minggu 3"),"")</f>
        <v>0</v>
      </c>
      <c r="F21" s="23">
        <f>IF(4&lt;=$D$2,SUMIFS(PEMBAYARAN!$E$4:$E$500,PEMBAYARAN!$A$4:$A$500,$B21,PEMBAYARAN!$B$4:$B$500,"Oktober",PEMBAYARAN!$C$4:$C$500,"Minggu 4"),"")</f>
        <v>0</v>
      </c>
      <c r="G21" s="23">
        <f>IF(5&lt;=$D$2,SUMIFS(PEMBAYARAN!$E$4:$E$500,PEMBAYARAN!$A$4:$A$500,$B21,PEMBAYARAN!$B$4:$B$500,"Oktober",PEMBAYARAN!$C$4:$C$500,"Minggu 5"),"")</f>
        <v>0</v>
      </c>
      <c r="H21" s="23">
        <f t="shared" si="0"/>
        <v>25000</v>
      </c>
      <c r="I21" s="23">
        <f t="shared" si="1"/>
        <v>0</v>
      </c>
      <c r="J21" s="23">
        <f t="shared" si="2"/>
        <v>25000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BELUM BAYAR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IF(1&lt;=$D$2,SUMIFS(PEMBAYARAN!$E$4:$E$500,PEMBAYARAN!$A$4:$A$500,$B22,PEMBAYARAN!$B$4:$B$500,"Oktober",PEMBAYARAN!$C$4:$C$500,"Minggu 1"),"")</f>
        <v>0</v>
      </c>
      <c r="D22" s="23">
        <f>IF(2&lt;=$D$2,SUMIFS(PEMBAYARAN!$E$4:$E$500,PEMBAYARAN!$A$4:$A$500,$B22,PEMBAYARAN!$B$4:$B$500,"Oktober",PEMBAYARAN!$C$4:$C$500,"Minggu 2"),"")</f>
        <v>0</v>
      </c>
      <c r="E22" s="23">
        <f>IF(3&lt;=$D$2,SUMIFS(PEMBAYARAN!$E$4:$E$500,PEMBAYARAN!$A$4:$A$500,$B22,PEMBAYARAN!$B$4:$B$500,"Oktober",PEMBAYARAN!$C$4:$C$500,"Minggu 3"),"")</f>
        <v>0</v>
      </c>
      <c r="F22" s="23">
        <f>IF(4&lt;=$D$2,SUMIFS(PEMBAYARAN!$E$4:$E$500,PEMBAYARAN!$A$4:$A$500,$B22,PEMBAYARAN!$B$4:$B$500,"Oktober",PEMBAYARAN!$C$4:$C$500,"Minggu 4"),"")</f>
        <v>0</v>
      </c>
      <c r="G22" s="23">
        <f>IF(5&lt;=$D$2,SUMIFS(PEMBAYARAN!$E$4:$E$500,PEMBAYARAN!$A$4:$A$500,$B22,PEMBAYARAN!$B$4:$B$500,"Oktober",PEMBAYARAN!$C$4:$C$500,"Minggu 5"),"")</f>
        <v>0</v>
      </c>
      <c r="H22" s="23">
        <f t="shared" si="0"/>
        <v>25000</v>
      </c>
      <c r="I22" s="23">
        <f t="shared" si="1"/>
        <v>0</v>
      </c>
      <c r="J22" s="23">
        <f t="shared" si="2"/>
        <v>25000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BELUM BAYAR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IF(1&lt;=$D$2,SUMIFS(PEMBAYARAN!$E$4:$E$500,PEMBAYARAN!$A$4:$A$500,$B23,PEMBAYARAN!$B$4:$B$500,"Oktober",PEMBAYARAN!$C$4:$C$500,"Minggu 1"),"")</f>
        <v>0</v>
      </c>
      <c r="D23" s="23">
        <f>IF(2&lt;=$D$2,SUMIFS(PEMBAYARAN!$E$4:$E$500,PEMBAYARAN!$A$4:$A$500,$B23,PEMBAYARAN!$B$4:$B$500,"Oktober",PEMBAYARAN!$C$4:$C$500,"Minggu 2"),"")</f>
        <v>0</v>
      </c>
      <c r="E23" s="23">
        <f>IF(3&lt;=$D$2,SUMIFS(PEMBAYARAN!$E$4:$E$500,PEMBAYARAN!$A$4:$A$500,$B23,PEMBAYARAN!$B$4:$B$500,"Oktober",PEMBAYARAN!$C$4:$C$500,"Minggu 3"),"")</f>
        <v>0</v>
      </c>
      <c r="F23" s="23">
        <f>IF(4&lt;=$D$2,SUMIFS(PEMBAYARAN!$E$4:$E$500,PEMBAYARAN!$A$4:$A$500,$B23,PEMBAYARAN!$B$4:$B$500,"Oktober",PEMBAYARAN!$C$4:$C$500,"Minggu 4"),"")</f>
        <v>0</v>
      </c>
      <c r="G23" s="23">
        <f>IF(5&lt;=$D$2,SUMIFS(PEMBAYARAN!$E$4:$E$500,PEMBAYARAN!$A$4:$A$500,$B23,PEMBAYARAN!$B$4:$B$500,"Oktober",PEMBAYARAN!$C$4:$C$500,"Minggu 5"),"")</f>
        <v>0</v>
      </c>
      <c r="H23" s="23">
        <f t="shared" si="0"/>
        <v>25000</v>
      </c>
      <c r="I23" s="23">
        <f t="shared" si="1"/>
        <v>0</v>
      </c>
      <c r="J23" s="23">
        <f t="shared" si="2"/>
        <v>25000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BELUM BAYAR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IF(1&lt;=$D$2,SUMIFS(PEMBAYARAN!$E$4:$E$500,PEMBAYARAN!$A$4:$A$500,$B24,PEMBAYARAN!$B$4:$B$500,"Oktober",PEMBAYARAN!$C$4:$C$500,"Minggu 1"),"")</f>
        <v>0</v>
      </c>
      <c r="D24" s="23">
        <f>IF(2&lt;=$D$2,SUMIFS(PEMBAYARAN!$E$4:$E$500,PEMBAYARAN!$A$4:$A$500,$B24,PEMBAYARAN!$B$4:$B$500,"Oktober",PEMBAYARAN!$C$4:$C$500,"Minggu 2"),"")</f>
        <v>0</v>
      </c>
      <c r="E24" s="23">
        <f>IF(3&lt;=$D$2,SUMIFS(PEMBAYARAN!$E$4:$E$500,PEMBAYARAN!$A$4:$A$500,$B24,PEMBAYARAN!$B$4:$B$500,"Oktober",PEMBAYARAN!$C$4:$C$500,"Minggu 3"),"")</f>
        <v>0</v>
      </c>
      <c r="F24" s="23">
        <f>IF(4&lt;=$D$2,SUMIFS(PEMBAYARAN!$E$4:$E$500,PEMBAYARAN!$A$4:$A$500,$B24,PEMBAYARAN!$B$4:$B$500,"Oktober",PEMBAYARAN!$C$4:$C$500,"Minggu 4"),"")</f>
        <v>0</v>
      </c>
      <c r="G24" s="23">
        <f>IF(5&lt;=$D$2,SUMIFS(PEMBAYARAN!$E$4:$E$500,PEMBAYARAN!$A$4:$A$500,$B24,PEMBAYARAN!$B$4:$B$500,"Oktober",PEMBAYARAN!$C$4:$C$500,"Minggu 5"),"")</f>
        <v>0</v>
      </c>
      <c r="H24" s="23">
        <f t="shared" si="0"/>
        <v>25000</v>
      </c>
      <c r="I24" s="23">
        <f t="shared" si="1"/>
        <v>0</v>
      </c>
      <c r="J24" s="23">
        <f t="shared" si="2"/>
        <v>25000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BELUM BAYAR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IF(1&lt;=$D$2,SUMIFS(PEMBAYARAN!$E$4:$E$500,PEMBAYARAN!$A$4:$A$500,$B25,PEMBAYARAN!$B$4:$B$500,"Oktober",PEMBAYARAN!$C$4:$C$500,"Minggu 1"),"")</f>
        <v>0</v>
      </c>
      <c r="D25" s="23">
        <f>IF(2&lt;=$D$2,SUMIFS(PEMBAYARAN!$E$4:$E$500,PEMBAYARAN!$A$4:$A$500,$B25,PEMBAYARAN!$B$4:$B$500,"Oktober",PEMBAYARAN!$C$4:$C$500,"Minggu 2"),"")</f>
        <v>0</v>
      </c>
      <c r="E25" s="23">
        <f>IF(3&lt;=$D$2,SUMIFS(PEMBAYARAN!$E$4:$E$500,PEMBAYARAN!$A$4:$A$500,$B25,PEMBAYARAN!$B$4:$B$500,"Oktober",PEMBAYARAN!$C$4:$C$500,"Minggu 3"),"")</f>
        <v>0</v>
      </c>
      <c r="F25" s="23">
        <f>IF(4&lt;=$D$2,SUMIFS(PEMBAYARAN!$E$4:$E$500,PEMBAYARAN!$A$4:$A$500,$B25,PEMBAYARAN!$B$4:$B$500,"Oktober",PEMBAYARAN!$C$4:$C$500,"Minggu 4"),"")</f>
        <v>0</v>
      </c>
      <c r="G25" s="23">
        <f>IF(5&lt;=$D$2,SUMIFS(PEMBAYARAN!$E$4:$E$500,PEMBAYARAN!$A$4:$A$500,$B25,PEMBAYARAN!$B$4:$B$500,"Oktober",PEMBAYARAN!$C$4:$C$500,"Minggu 5"),"")</f>
        <v>0</v>
      </c>
      <c r="H25" s="23">
        <f t="shared" si="0"/>
        <v>25000</v>
      </c>
      <c r="I25" s="23">
        <f t="shared" si="1"/>
        <v>0</v>
      </c>
      <c r="J25" s="23">
        <f t="shared" si="2"/>
        <v>25000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BELUM BAYAR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IF(1&lt;=$D$2,SUMIFS(PEMBAYARAN!$E$4:$E$500,PEMBAYARAN!$A$4:$A$500,$B26,PEMBAYARAN!$B$4:$B$500,"Oktober",PEMBAYARAN!$C$4:$C$500,"Minggu 1"),"")</f>
        <v>0</v>
      </c>
      <c r="D26" s="23">
        <f>IF(2&lt;=$D$2,SUMIFS(PEMBAYARAN!$E$4:$E$500,PEMBAYARAN!$A$4:$A$500,$B26,PEMBAYARAN!$B$4:$B$500,"Oktober",PEMBAYARAN!$C$4:$C$500,"Minggu 2"),"")</f>
        <v>0</v>
      </c>
      <c r="E26" s="23">
        <f>IF(3&lt;=$D$2,SUMIFS(PEMBAYARAN!$E$4:$E$500,PEMBAYARAN!$A$4:$A$500,$B26,PEMBAYARAN!$B$4:$B$500,"Oktober",PEMBAYARAN!$C$4:$C$500,"Minggu 3"),"")</f>
        <v>0</v>
      </c>
      <c r="F26" s="23">
        <f>IF(4&lt;=$D$2,SUMIFS(PEMBAYARAN!$E$4:$E$500,PEMBAYARAN!$A$4:$A$500,$B26,PEMBAYARAN!$B$4:$B$500,"Oktober",PEMBAYARAN!$C$4:$C$500,"Minggu 4"),"")</f>
        <v>0</v>
      </c>
      <c r="G26" s="23">
        <f>IF(5&lt;=$D$2,SUMIFS(PEMBAYARAN!$E$4:$E$500,PEMBAYARAN!$A$4:$A$500,$B26,PEMBAYARAN!$B$4:$B$500,"Oktober",PEMBAYARAN!$C$4:$C$500,"Minggu 5"),"")</f>
        <v>0</v>
      </c>
      <c r="H26" s="23">
        <f t="shared" si="0"/>
        <v>25000</v>
      </c>
      <c r="I26" s="23">
        <f t="shared" si="1"/>
        <v>0</v>
      </c>
      <c r="J26" s="23">
        <f t="shared" si="2"/>
        <v>25000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BELUM BAYAR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IF(1&lt;=$D$2,SUMIFS(PEMBAYARAN!$E$4:$E$500,PEMBAYARAN!$A$4:$A$500,$B27,PEMBAYARAN!$B$4:$B$500,"Oktober",PEMBAYARAN!$C$4:$C$500,"Minggu 1"),"")</f>
        <v>0</v>
      </c>
      <c r="D27" s="23">
        <f>IF(2&lt;=$D$2,SUMIFS(PEMBAYARAN!$E$4:$E$500,PEMBAYARAN!$A$4:$A$500,$B27,PEMBAYARAN!$B$4:$B$500,"Oktober",PEMBAYARAN!$C$4:$C$500,"Minggu 2"),"")</f>
        <v>0</v>
      </c>
      <c r="E27" s="23">
        <f>IF(3&lt;=$D$2,SUMIFS(PEMBAYARAN!$E$4:$E$500,PEMBAYARAN!$A$4:$A$500,$B27,PEMBAYARAN!$B$4:$B$500,"Oktober",PEMBAYARAN!$C$4:$C$500,"Minggu 3"),"")</f>
        <v>0</v>
      </c>
      <c r="F27" s="23">
        <f>IF(4&lt;=$D$2,SUMIFS(PEMBAYARAN!$E$4:$E$500,PEMBAYARAN!$A$4:$A$500,$B27,PEMBAYARAN!$B$4:$B$500,"Oktober",PEMBAYARAN!$C$4:$C$500,"Minggu 4"),"")</f>
        <v>0</v>
      </c>
      <c r="G27" s="23">
        <f>IF(5&lt;=$D$2,SUMIFS(PEMBAYARAN!$E$4:$E$500,PEMBAYARAN!$A$4:$A$500,$B27,PEMBAYARAN!$B$4:$B$500,"Oktober",PEMBAYARAN!$C$4:$C$500,"Minggu 5"),"")</f>
        <v>0</v>
      </c>
      <c r="H27" s="23">
        <f t="shared" si="0"/>
        <v>25000</v>
      </c>
      <c r="I27" s="23">
        <f t="shared" si="1"/>
        <v>0</v>
      </c>
      <c r="J27" s="23">
        <f t="shared" si="2"/>
        <v>25000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BELUM BAYAR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IF(1&lt;=$D$2,SUMIFS(PEMBAYARAN!$E$4:$E$500,PEMBAYARAN!$A$4:$A$500,$B28,PEMBAYARAN!$B$4:$B$500,"Oktober",PEMBAYARAN!$C$4:$C$500,"Minggu 1"),"")</f>
        <v>0</v>
      </c>
      <c r="D28" s="23">
        <f>IF(2&lt;=$D$2,SUMIFS(PEMBAYARAN!$E$4:$E$500,PEMBAYARAN!$A$4:$A$500,$B28,PEMBAYARAN!$B$4:$B$500,"Oktober",PEMBAYARAN!$C$4:$C$500,"Minggu 2"),"")</f>
        <v>0</v>
      </c>
      <c r="E28" s="23">
        <f>IF(3&lt;=$D$2,SUMIFS(PEMBAYARAN!$E$4:$E$500,PEMBAYARAN!$A$4:$A$500,$B28,PEMBAYARAN!$B$4:$B$500,"Oktober",PEMBAYARAN!$C$4:$C$500,"Minggu 3"),"")</f>
        <v>0</v>
      </c>
      <c r="F28" s="23">
        <f>IF(4&lt;=$D$2,SUMIFS(PEMBAYARAN!$E$4:$E$500,PEMBAYARAN!$A$4:$A$500,$B28,PEMBAYARAN!$B$4:$B$500,"Oktober",PEMBAYARAN!$C$4:$C$500,"Minggu 4"),"")</f>
        <v>0</v>
      </c>
      <c r="G28" s="23">
        <f>IF(5&lt;=$D$2,SUMIFS(PEMBAYARAN!$E$4:$E$500,PEMBAYARAN!$A$4:$A$500,$B28,PEMBAYARAN!$B$4:$B$500,"Oktober",PEMBAYARAN!$C$4:$C$500,"Minggu 5"),"")</f>
        <v>0</v>
      </c>
      <c r="H28" s="23">
        <f t="shared" si="0"/>
        <v>25000</v>
      </c>
      <c r="I28" s="23">
        <f t="shared" si="1"/>
        <v>0</v>
      </c>
      <c r="J28" s="23">
        <f t="shared" si="2"/>
        <v>25000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BELUM BAYAR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IF(1&lt;=$D$2,SUMIFS(PEMBAYARAN!$E$4:$E$500,PEMBAYARAN!$A$4:$A$500,$B29,PEMBAYARAN!$B$4:$B$500,"Oktober",PEMBAYARAN!$C$4:$C$500,"Minggu 1"),"")</f>
        <v>0</v>
      </c>
      <c r="D29" s="23">
        <f>IF(2&lt;=$D$2,SUMIFS(PEMBAYARAN!$E$4:$E$500,PEMBAYARAN!$A$4:$A$500,$B29,PEMBAYARAN!$B$4:$B$500,"Oktober",PEMBAYARAN!$C$4:$C$500,"Minggu 2"),"")</f>
        <v>0</v>
      </c>
      <c r="E29" s="23">
        <f>IF(3&lt;=$D$2,SUMIFS(PEMBAYARAN!$E$4:$E$500,PEMBAYARAN!$A$4:$A$500,$B29,PEMBAYARAN!$B$4:$B$500,"Oktober",PEMBAYARAN!$C$4:$C$500,"Minggu 3"),"")</f>
        <v>0</v>
      </c>
      <c r="F29" s="23">
        <f>IF(4&lt;=$D$2,SUMIFS(PEMBAYARAN!$E$4:$E$500,PEMBAYARAN!$A$4:$A$500,$B29,PEMBAYARAN!$B$4:$B$500,"Oktober",PEMBAYARAN!$C$4:$C$500,"Minggu 4"),"")</f>
        <v>0</v>
      </c>
      <c r="G29" s="23">
        <f>IF(5&lt;=$D$2,SUMIFS(PEMBAYARAN!$E$4:$E$500,PEMBAYARAN!$A$4:$A$500,$B29,PEMBAYARAN!$B$4:$B$500,"Oktober",PEMBAYARAN!$C$4:$C$500,"Minggu 5"),"")</f>
        <v>0</v>
      </c>
      <c r="H29" s="23">
        <f t="shared" si="0"/>
        <v>25000</v>
      </c>
      <c r="I29" s="23">
        <f t="shared" si="1"/>
        <v>0</v>
      </c>
      <c r="J29" s="23">
        <f t="shared" si="2"/>
        <v>25000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BELUM BAYAR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IF(1&lt;=$D$2,SUMIFS(PEMBAYARAN!$E$4:$E$500,PEMBAYARAN!$A$4:$A$500,$B30,PEMBAYARAN!$B$4:$B$500,"Oktober",PEMBAYARAN!$C$4:$C$500,"Minggu 1"),"")</f>
        <v>0</v>
      </c>
      <c r="D30" s="23">
        <f>IF(2&lt;=$D$2,SUMIFS(PEMBAYARAN!$E$4:$E$500,PEMBAYARAN!$A$4:$A$500,$B30,PEMBAYARAN!$B$4:$B$500,"Oktober",PEMBAYARAN!$C$4:$C$500,"Minggu 2"),"")</f>
        <v>0</v>
      </c>
      <c r="E30" s="23">
        <f>IF(3&lt;=$D$2,SUMIFS(PEMBAYARAN!$E$4:$E$500,PEMBAYARAN!$A$4:$A$500,$B30,PEMBAYARAN!$B$4:$B$500,"Oktober",PEMBAYARAN!$C$4:$C$500,"Minggu 3"),"")</f>
        <v>0</v>
      </c>
      <c r="F30" s="23">
        <f>IF(4&lt;=$D$2,SUMIFS(PEMBAYARAN!$E$4:$E$500,PEMBAYARAN!$A$4:$A$500,$B30,PEMBAYARAN!$B$4:$B$500,"Oktober",PEMBAYARAN!$C$4:$C$500,"Minggu 4"),"")</f>
        <v>0</v>
      </c>
      <c r="G30" s="23">
        <f>IF(5&lt;=$D$2,SUMIFS(PEMBAYARAN!$E$4:$E$500,PEMBAYARAN!$A$4:$A$500,$B30,PEMBAYARAN!$B$4:$B$500,"Oktober",PEMBAYARAN!$C$4:$C$500,"Minggu 5"),"")</f>
        <v>0</v>
      </c>
      <c r="H30" s="23">
        <f t="shared" si="0"/>
        <v>25000</v>
      </c>
      <c r="I30" s="23">
        <f t="shared" si="1"/>
        <v>0</v>
      </c>
      <c r="J30" s="23">
        <f t="shared" si="2"/>
        <v>25000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BELUM BAYAR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IF(1&lt;=$D$2,SUMIFS(PEMBAYARAN!$E$4:$E$500,PEMBAYARAN!$A$4:$A$500,$B31,PEMBAYARAN!$B$4:$B$500,"Oktober",PEMBAYARAN!$C$4:$C$500,"Minggu 1"),"")</f>
        <v>0</v>
      </c>
      <c r="D31" s="23">
        <f>IF(2&lt;=$D$2,SUMIFS(PEMBAYARAN!$E$4:$E$500,PEMBAYARAN!$A$4:$A$500,$B31,PEMBAYARAN!$B$4:$B$500,"Oktober",PEMBAYARAN!$C$4:$C$500,"Minggu 2"),"")</f>
        <v>0</v>
      </c>
      <c r="E31" s="23">
        <f>IF(3&lt;=$D$2,SUMIFS(PEMBAYARAN!$E$4:$E$500,PEMBAYARAN!$A$4:$A$500,$B31,PEMBAYARAN!$B$4:$B$500,"Oktober",PEMBAYARAN!$C$4:$C$500,"Minggu 3"),"")</f>
        <v>0</v>
      </c>
      <c r="F31" s="23">
        <f>IF(4&lt;=$D$2,SUMIFS(PEMBAYARAN!$E$4:$E$500,PEMBAYARAN!$A$4:$A$500,$B31,PEMBAYARAN!$B$4:$B$500,"Oktober",PEMBAYARAN!$C$4:$C$500,"Minggu 4"),"")</f>
        <v>0</v>
      </c>
      <c r="G31" s="23">
        <f>IF(5&lt;=$D$2,SUMIFS(PEMBAYARAN!$E$4:$E$500,PEMBAYARAN!$A$4:$A$500,$B31,PEMBAYARAN!$B$4:$B$500,"Oktober",PEMBAYARAN!$C$4:$C$500,"Minggu 5"),"")</f>
        <v>0</v>
      </c>
      <c r="H31" s="23">
        <f t="shared" si="0"/>
        <v>25000</v>
      </c>
      <c r="I31" s="23">
        <f t="shared" si="1"/>
        <v>0</v>
      </c>
      <c r="J31" s="23">
        <f t="shared" si="2"/>
        <v>25000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BELUM BAYAR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IF(1&lt;=$D$2,SUMIFS(PEMBAYARAN!$E$4:$E$500,PEMBAYARAN!$A$4:$A$500,$B32,PEMBAYARAN!$B$4:$B$500,"Oktober",PEMBAYARAN!$C$4:$C$500,"Minggu 1"),"")</f>
        <v>0</v>
      </c>
      <c r="D32" s="23">
        <f>IF(2&lt;=$D$2,SUMIFS(PEMBAYARAN!$E$4:$E$500,PEMBAYARAN!$A$4:$A$500,$B32,PEMBAYARAN!$B$4:$B$500,"Oktober",PEMBAYARAN!$C$4:$C$500,"Minggu 2"),"")</f>
        <v>0</v>
      </c>
      <c r="E32" s="23">
        <f>IF(3&lt;=$D$2,SUMIFS(PEMBAYARAN!$E$4:$E$500,PEMBAYARAN!$A$4:$A$500,$B32,PEMBAYARAN!$B$4:$B$500,"Oktober",PEMBAYARAN!$C$4:$C$500,"Minggu 3"),"")</f>
        <v>0</v>
      </c>
      <c r="F32" s="23">
        <f>IF(4&lt;=$D$2,SUMIFS(PEMBAYARAN!$E$4:$E$500,PEMBAYARAN!$A$4:$A$500,$B32,PEMBAYARAN!$B$4:$B$500,"Oktober",PEMBAYARAN!$C$4:$C$500,"Minggu 4"),"")</f>
        <v>0</v>
      </c>
      <c r="G32" s="23">
        <f>IF(5&lt;=$D$2,SUMIFS(PEMBAYARAN!$E$4:$E$500,PEMBAYARAN!$A$4:$A$500,$B32,PEMBAYARAN!$B$4:$B$500,"Oktober",PEMBAYARAN!$C$4:$C$500,"Minggu 5"),"")</f>
        <v>0</v>
      </c>
      <c r="H32" s="23">
        <f t="shared" si="0"/>
        <v>25000</v>
      </c>
      <c r="I32" s="23">
        <f t="shared" si="1"/>
        <v>0</v>
      </c>
      <c r="J32" s="23">
        <f t="shared" si="2"/>
        <v>25000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BELUM BAYAR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IF(1&lt;=$D$2,SUMIFS(PEMBAYARAN!$E$4:$E$500,PEMBAYARAN!$A$4:$A$500,$B33,PEMBAYARAN!$B$4:$B$500,"Oktober",PEMBAYARAN!$C$4:$C$500,"Minggu 1"),"")</f>
        <v>0</v>
      </c>
      <c r="D33" s="23">
        <f>IF(2&lt;=$D$2,SUMIFS(PEMBAYARAN!$E$4:$E$500,PEMBAYARAN!$A$4:$A$500,$B33,PEMBAYARAN!$B$4:$B$500,"Oktober",PEMBAYARAN!$C$4:$C$500,"Minggu 2"),"")</f>
        <v>0</v>
      </c>
      <c r="E33" s="23">
        <f>IF(3&lt;=$D$2,SUMIFS(PEMBAYARAN!$E$4:$E$500,PEMBAYARAN!$A$4:$A$500,$B33,PEMBAYARAN!$B$4:$B$500,"Oktober",PEMBAYARAN!$C$4:$C$500,"Minggu 3"),"")</f>
        <v>0</v>
      </c>
      <c r="F33" s="23">
        <f>IF(4&lt;=$D$2,SUMIFS(PEMBAYARAN!$E$4:$E$500,PEMBAYARAN!$A$4:$A$500,$B33,PEMBAYARAN!$B$4:$B$500,"Oktober",PEMBAYARAN!$C$4:$C$500,"Minggu 4"),"")</f>
        <v>0</v>
      </c>
      <c r="G33" s="23">
        <f>IF(5&lt;=$D$2,SUMIFS(PEMBAYARAN!$E$4:$E$500,PEMBAYARAN!$A$4:$A$500,$B33,PEMBAYARAN!$B$4:$B$500,"Oktober",PEMBAYARAN!$C$4:$C$500,"Minggu 5"),"")</f>
        <v>0</v>
      </c>
      <c r="H33" s="23">
        <f t="shared" si="0"/>
        <v>25000</v>
      </c>
      <c r="I33" s="23">
        <f t="shared" si="1"/>
        <v>0</v>
      </c>
      <c r="J33" s="23">
        <f t="shared" si="2"/>
        <v>25000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BELUM BAYAR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IF(1&lt;=$D$2,SUMIFS(PEMBAYARAN!$E$4:$E$500,PEMBAYARAN!$A$4:$A$500,$B34,PEMBAYARAN!$B$4:$B$500,"Oktober",PEMBAYARAN!$C$4:$C$500,"Minggu 1"),"")</f>
        <v>0</v>
      </c>
      <c r="D34" s="23">
        <f>IF(2&lt;=$D$2,SUMIFS(PEMBAYARAN!$E$4:$E$500,PEMBAYARAN!$A$4:$A$500,$B34,PEMBAYARAN!$B$4:$B$500,"Oktober",PEMBAYARAN!$C$4:$C$500,"Minggu 2"),"")</f>
        <v>0</v>
      </c>
      <c r="E34" s="23">
        <f>IF(3&lt;=$D$2,SUMIFS(PEMBAYARAN!$E$4:$E$500,PEMBAYARAN!$A$4:$A$500,$B34,PEMBAYARAN!$B$4:$B$500,"Oktober",PEMBAYARAN!$C$4:$C$500,"Minggu 3"),"")</f>
        <v>0</v>
      </c>
      <c r="F34" s="23">
        <f>IF(4&lt;=$D$2,SUMIFS(PEMBAYARAN!$E$4:$E$500,PEMBAYARAN!$A$4:$A$500,$B34,PEMBAYARAN!$B$4:$B$500,"Oktober",PEMBAYARAN!$C$4:$C$500,"Minggu 4"),"")</f>
        <v>0</v>
      </c>
      <c r="G34" s="23">
        <f>IF(5&lt;=$D$2,SUMIFS(PEMBAYARAN!$E$4:$E$500,PEMBAYARAN!$A$4:$A$500,$B34,PEMBAYARAN!$B$4:$B$500,"Oktober",PEMBAYARAN!$C$4:$C$500,"Minggu 5"),"")</f>
        <v>0</v>
      </c>
      <c r="H34" s="23">
        <f t="shared" si="0"/>
        <v>25000</v>
      </c>
      <c r="I34" s="23">
        <f t="shared" si="1"/>
        <v>0</v>
      </c>
      <c r="J34" s="23">
        <f t="shared" si="2"/>
        <v>25000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BELUM BAYAR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IF(1&lt;=$D$2,SUMIFS(PEMBAYARAN!$E$4:$E$500,PEMBAYARAN!$A$4:$A$500,$B35,PEMBAYARAN!$B$4:$B$500,"Oktober",PEMBAYARAN!$C$4:$C$500,"Minggu 1"),"")</f>
        <v>0</v>
      </c>
      <c r="D35" s="23">
        <f>IF(2&lt;=$D$2,SUMIFS(PEMBAYARAN!$E$4:$E$500,PEMBAYARAN!$A$4:$A$500,$B35,PEMBAYARAN!$B$4:$B$500,"Oktober",PEMBAYARAN!$C$4:$C$500,"Minggu 2"),"")</f>
        <v>0</v>
      </c>
      <c r="E35" s="23">
        <f>IF(3&lt;=$D$2,SUMIFS(PEMBAYARAN!$E$4:$E$500,PEMBAYARAN!$A$4:$A$500,$B35,PEMBAYARAN!$B$4:$B$500,"Oktober",PEMBAYARAN!$C$4:$C$500,"Minggu 3"),"")</f>
        <v>0</v>
      </c>
      <c r="F35" s="23">
        <f>IF(4&lt;=$D$2,SUMIFS(PEMBAYARAN!$E$4:$E$500,PEMBAYARAN!$A$4:$A$500,$B35,PEMBAYARAN!$B$4:$B$500,"Oktober",PEMBAYARAN!$C$4:$C$500,"Minggu 4"),"")</f>
        <v>0</v>
      </c>
      <c r="G35" s="23">
        <f>IF(5&lt;=$D$2,SUMIFS(PEMBAYARAN!$E$4:$E$500,PEMBAYARAN!$A$4:$A$500,$B35,PEMBAYARAN!$B$4:$B$500,"Oktober",PEMBAYARAN!$C$4:$C$500,"Minggu 5"),"")</f>
        <v>0</v>
      </c>
      <c r="H35" s="23">
        <f t="shared" si="0"/>
        <v>25000</v>
      </c>
      <c r="I35" s="23">
        <f t="shared" si="1"/>
        <v>0</v>
      </c>
      <c r="J35" s="23">
        <f t="shared" si="2"/>
        <v>25000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BELUM BAYAR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IF(1&lt;=$D$2,SUMIFS(PEMBAYARAN!$E$4:$E$500,PEMBAYARAN!$A$4:$A$500,$B36,PEMBAYARAN!$B$4:$B$500,"Oktober",PEMBAYARAN!$C$4:$C$500,"Minggu 1"),"")</f>
        <v>0</v>
      </c>
      <c r="D36" s="23">
        <f>IF(2&lt;=$D$2,SUMIFS(PEMBAYARAN!$E$4:$E$500,PEMBAYARAN!$A$4:$A$500,$B36,PEMBAYARAN!$B$4:$B$500,"Oktober",PEMBAYARAN!$C$4:$C$500,"Minggu 2"),"")</f>
        <v>0</v>
      </c>
      <c r="E36" s="23">
        <f>IF(3&lt;=$D$2,SUMIFS(PEMBAYARAN!$E$4:$E$500,PEMBAYARAN!$A$4:$A$500,$B36,PEMBAYARAN!$B$4:$B$500,"Oktober",PEMBAYARAN!$C$4:$C$500,"Minggu 3"),"")</f>
        <v>0</v>
      </c>
      <c r="F36" s="23">
        <f>IF(4&lt;=$D$2,SUMIFS(PEMBAYARAN!$E$4:$E$500,PEMBAYARAN!$A$4:$A$500,$B36,PEMBAYARAN!$B$4:$B$500,"Oktober",PEMBAYARAN!$C$4:$C$500,"Minggu 4"),"")</f>
        <v>0</v>
      </c>
      <c r="G36" s="23">
        <f>IF(5&lt;=$D$2,SUMIFS(PEMBAYARAN!$E$4:$E$500,PEMBAYARAN!$A$4:$A$500,$B36,PEMBAYARAN!$B$4:$B$500,"Oktober",PEMBAYARAN!$C$4:$C$500,"Minggu 5"),"")</f>
        <v>0</v>
      </c>
      <c r="H36" s="23">
        <f t="shared" si="0"/>
        <v>25000</v>
      </c>
      <c r="I36" s="23">
        <f t="shared" si="1"/>
        <v>0</v>
      </c>
      <c r="J36" s="23">
        <f t="shared" si="2"/>
        <v>25000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BELUM BAYAR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IF(1&lt;=$D$2,SUMIFS(PEMBAYARAN!$E$4:$E$500,PEMBAYARAN!$A$4:$A$500,$B37,PEMBAYARAN!$B$4:$B$500,"Oktober",PEMBAYARAN!$C$4:$C$500,"Minggu 1"),"")</f>
        <v>0</v>
      </c>
      <c r="D37" s="23">
        <f>IF(2&lt;=$D$2,SUMIFS(PEMBAYARAN!$E$4:$E$500,PEMBAYARAN!$A$4:$A$500,$B37,PEMBAYARAN!$B$4:$B$500,"Oktober",PEMBAYARAN!$C$4:$C$500,"Minggu 2"),"")</f>
        <v>0</v>
      </c>
      <c r="E37" s="23">
        <f>IF(3&lt;=$D$2,SUMIFS(PEMBAYARAN!$E$4:$E$500,PEMBAYARAN!$A$4:$A$500,$B37,PEMBAYARAN!$B$4:$B$500,"Oktober",PEMBAYARAN!$C$4:$C$500,"Minggu 3"),"")</f>
        <v>0</v>
      </c>
      <c r="F37" s="23">
        <f>IF(4&lt;=$D$2,SUMIFS(PEMBAYARAN!$E$4:$E$500,PEMBAYARAN!$A$4:$A$500,$B37,PEMBAYARAN!$B$4:$B$500,"Oktober",PEMBAYARAN!$C$4:$C$500,"Minggu 4"),"")</f>
        <v>0</v>
      </c>
      <c r="G37" s="23">
        <f>IF(5&lt;=$D$2,SUMIFS(PEMBAYARAN!$E$4:$E$500,PEMBAYARAN!$A$4:$A$500,$B37,PEMBAYARAN!$B$4:$B$500,"Oktober",PEMBAYARAN!$C$4:$C$500,"Minggu 5"),"")</f>
        <v>0</v>
      </c>
      <c r="H37" s="23">
        <f t="shared" si="0"/>
        <v>25000</v>
      </c>
      <c r="I37" s="23">
        <f t="shared" si="1"/>
        <v>0</v>
      </c>
      <c r="J37" s="23">
        <f t="shared" si="2"/>
        <v>25000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BELUM BAYAR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IF(1&lt;=$D$2,SUMIFS(PEMBAYARAN!$E$4:$E$500,PEMBAYARAN!$A$4:$A$500,$B38,PEMBAYARAN!$B$4:$B$500,"Oktober",PEMBAYARAN!$C$4:$C$500,"Minggu 1"),"")</f>
        <v>0</v>
      </c>
      <c r="D38" s="23">
        <f>IF(2&lt;=$D$2,SUMIFS(PEMBAYARAN!$E$4:$E$500,PEMBAYARAN!$A$4:$A$500,$B38,PEMBAYARAN!$B$4:$B$500,"Oktober",PEMBAYARAN!$C$4:$C$500,"Minggu 2"),"")</f>
        <v>0</v>
      </c>
      <c r="E38" s="23">
        <f>IF(3&lt;=$D$2,SUMIFS(PEMBAYARAN!$E$4:$E$500,PEMBAYARAN!$A$4:$A$500,$B38,PEMBAYARAN!$B$4:$B$500,"Oktober",PEMBAYARAN!$C$4:$C$500,"Minggu 3"),"")</f>
        <v>0</v>
      </c>
      <c r="F38" s="23">
        <f>IF(4&lt;=$D$2,SUMIFS(PEMBAYARAN!$E$4:$E$500,PEMBAYARAN!$A$4:$A$500,$B38,PEMBAYARAN!$B$4:$B$500,"Oktober",PEMBAYARAN!$C$4:$C$500,"Minggu 4"),"")</f>
        <v>0</v>
      </c>
      <c r="G38" s="23">
        <f>IF(5&lt;=$D$2,SUMIFS(PEMBAYARAN!$E$4:$E$500,PEMBAYARAN!$A$4:$A$500,$B38,PEMBAYARAN!$B$4:$B$500,"Oktober",PEMBAYARAN!$C$4:$C$500,"Minggu 5"),"")</f>
        <v>0</v>
      </c>
      <c r="H38" s="23">
        <f t="shared" si="0"/>
        <v>25000</v>
      </c>
      <c r="I38" s="23">
        <f t="shared" si="1"/>
        <v>0</v>
      </c>
      <c r="J38" s="23">
        <f t="shared" si="2"/>
        <v>25000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BELUM BAYAR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IF(1&lt;=$D$2,SUMIFS(PEMBAYARAN!$E$4:$E$500,PEMBAYARAN!$A$4:$A$500,$B39,PEMBAYARAN!$B$4:$B$500,"Oktober",PEMBAYARAN!$C$4:$C$500,"Minggu 1"),"")</f>
        <v>0</v>
      </c>
      <c r="D39" s="23">
        <f>IF(2&lt;=$D$2,SUMIFS(PEMBAYARAN!$E$4:$E$500,PEMBAYARAN!$A$4:$A$500,$B39,PEMBAYARAN!$B$4:$B$500,"Oktober",PEMBAYARAN!$C$4:$C$500,"Minggu 2"),"")</f>
        <v>0</v>
      </c>
      <c r="E39" s="23">
        <f>IF(3&lt;=$D$2,SUMIFS(PEMBAYARAN!$E$4:$E$500,PEMBAYARAN!$A$4:$A$500,$B39,PEMBAYARAN!$B$4:$B$500,"Oktober",PEMBAYARAN!$C$4:$C$500,"Minggu 3"),"")</f>
        <v>0</v>
      </c>
      <c r="F39" s="23">
        <f>IF(4&lt;=$D$2,SUMIFS(PEMBAYARAN!$E$4:$E$500,PEMBAYARAN!$A$4:$A$500,$B39,PEMBAYARAN!$B$4:$B$500,"Oktober",PEMBAYARAN!$C$4:$C$500,"Minggu 4"),"")</f>
        <v>0</v>
      </c>
      <c r="G39" s="23">
        <f>IF(5&lt;=$D$2,SUMIFS(PEMBAYARAN!$E$4:$E$500,PEMBAYARAN!$A$4:$A$500,$B39,PEMBAYARAN!$B$4:$B$500,"Oktober",PEMBAYARAN!$C$4:$C$500,"Minggu 5"),"")</f>
        <v>0</v>
      </c>
      <c r="H39" s="23">
        <f t="shared" si="0"/>
        <v>25000</v>
      </c>
      <c r="I39" s="23">
        <f t="shared" si="1"/>
        <v>0</v>
      </c>
      <c r="J39" s="23">
        <f t="shared" si="2"/>
        <v>25000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BELUM BAYAR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IF(1&lt;=$D$2,SUMIFS(PEMBAYARAN!$E$4:$E$500,PEMBAYARAN!$A$4:$A$500,$B40,PEMBAYARAN!$B$4:$B$500,"Oktober",PEMBAYARAN!$C$4:$C$500,"Minggu 1"),"")</f>
        <v>0</v>
      </c>
      <c r="D40" s="23">
        <f>IF(2&lt;=$D$2,SUMIFS(PEMBAYARAN!$E$4:$E$500,PEMBAYARAN!$A$4:$A$500,$B40,PEMBAYARAN!$B$4:$B$500,"Oktober",PEMBAYARAN!$C$4:$C$500,"Minggu 2"),"")</f>
        <v>0</v>
      </c>
      <c r="E40" s="23">
        <f>IF(3&lt;=$D$2,SUMIFS(PEMBAYARAN!$E$4:$E$500,PEMBAYARAN!$A$4:$A$500,$B40,PEMBAYARAN!$B$4:$B$500,"Oktober",PEMBAYARAN!$C$4:$C$500,"Minggu 3"),"")</f>
        <v>0</v>
      </c>
      <c r="F40" s="23">
        <f>IF(4&lt;=$D$2,SUMIFS(PEMBAYARAN!$E$4:$E$500,PEMBAYARAN!$A$4:$A$500,$B40,PEMBAYARAN!$B$4:$B$500,"Oktober",PEMBAYARAN!$C$4:$C$500,"Minggu 4"),"")</f>
        <v>0</v>
      </c>
      <c r="G40" s="23">
        <f>IF(5&lt;=$D$2,SUMIFS(PEMBAYARAN!$E$4:$E$500,PEMBAYARAN!$A$4:$A$500,$B40,PEMBAYARAN!$B$4:$B$500,"Oktober",PEMBAYARAN!$C$4:$C$500,"Minggu 5"),"")</f>
        <v>0</v>
      </c>
      <c r="H40" s="23">
        <f t="shared" si="0"/>
        <v>25000</v>
      </c>
      <c r="I40" s="23">
        <f t="shared" si="1"/>
        <v>0</v>
      </c>
      <c r="J40" s="23">
        <f t="shared" si="2"/>
        <v>25000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BELUM BAYAR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IF(1&lt;=$D$2,SUMIFS(PEMBAYARAN!$E$4:$E$500,PEMBAYARAN!$A$4:$A$500,$B41,PEMBAYARAN!$B$4:$B$500,"Oktober",PEMBAYARAN!$C$4:$C$500,"Minggu 1"),"")</f>
        <v>0</v>
      </c>
      <c r="D41" s="23">
        <f>IF(2&lt;=$D$2,SUMIFS(PEMBAYARAN!$E$4:$E$500,PEMBAYARAN!$A$4:$A$500,$B41,PEMBAYARAN!$B$4:$B$500,"Oktober",PEMBAYARAN!$C$4:$C$500,"Minggu 2"),"")</f>
        <v>0</v>
      </c>
      <c r="E41" s="23">
        <f>IF(3&lt;=$D$2,SUMIFS(PEMBAYARAN!$E$4:$E$500,PEMBAYARAN!$A$4:$A$500,$B41,PEMBAYARAN!$B$4:$B$500,"Oktober",PEMBAYARAN!$C$4:$C$500,"Minggu 3"),"")</f>
        <v>0</v>
      </c>
      <c r="F41" s="23">
        <f>IF(4&lt;=$D$2,SUMIFS(PEMBAYARAN!$E$4:$E$500,PEMBAYARAN!$A$4:$A$500,$B41,PEMBAYARAN!$B$4:$B$500,"Oktober",PEMBAYARAN!$C$4:$C$500,"Minggu 4"),"")</f>
        <v>0</v>
      </c>
      <c r="G41" s="23">
        <f>IF(5&lt;=$D$2,SUMIFS(PEMBAYARAN!$E$4:$E$500,PEMBAYARAN!$A$4:$A$500,$B41,PEMBAYARAN!$B$4:$B$500,"Oktober",PEMBAYARAN!$C$4:$C$500,"Minggu 5"),"")</f>
        <v>0</v>
      </c>
      <c r="H41" s="23">
        <f t="shared" si="0"/>
        <v>25000</v>
      </c>
      <c r="I41" s="23">
        <f t="shared" si="1"/>
        <v>0</v>
      </c>
      <c r="J41" s="23">
        <f t="shared" si="2"/>
        <v>25000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BELUM BAYAR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IF(1&lt;=$D$2,SUMIFS(PEMBAYARAN!$E$4:$E$500,PEMBAYARAN!$A$4:$A$500,$B42,PEMBAYARAN!$B$4:$B$500,"Oktober",PEMBAYARAN!$C$4:$C$500,"Minggu 1"),"")</f>
        <v>0</v>
      </c>
      <c r="D42" s="23">
        <f>IF(2&lt;=$D$2,SUMIFS(PEMBAYARAN!$E$4:$E$500,PEMBAYARAN!$A$4:$A$500,$B42,PEMBAYARAN!$B$4:$B$500,"Oktober",PEMBAYARAN!$C$4:$C$500,"Minggu 2"),"")</f>
        <v>0</v>
      </c>
      <c r="E42" s="23">
        <f>IF(3&lt;=$D$2,SUMIFS(PEMBAYARAN!$E$4:$E$500,PEMBAYARAN!$A$4:$A$500,$B42,PEMBAYARAN!$B$4:$B$500,"Oktober",PEMBAYARAN!$C$4:$C$500,"Minggu 3"),"")</f>
        <v>0</v>
      </c>
      <c r="F42" s="23">
        <f>IF(4&lt;=$D$2,SUMIFS(PEMBAYARAN!$E$4:$E$500,PEMBAYARAN!$A$4:$A$500,$B42,PEMBAYARAN!$B$4:$B$500,"Oktober",PEMBAYARAN!$C$4:$C$500,"Minggu 4"),"")</f>
        <v>0</v>
      </c>
      <c r="G42" s="23">
        <f>IF(5&lt;=$D$2,SUMIFS(PEMBAYARAN!$E$4:$E$500,PEMBAYARAN!$A$4:$A$500,$B42,PEMBAYARAN!$B$4:$B$500,"Oktober",PEMBAYARAN!$C$4:$C$500,"Minggu 5"),"")</f>
        <v>0</v>
      </c>
      <c r="H42" s="23">
        <f t="shared" si="0"/>
        <v>25000</v>
      </c>
      <c r="I42" s="23">
        <f t="shared" si="1"/>
        <v>0</v>
      </c>
      <c r="J42" s="23">
        <f t="shared" si="2"/>
        <v>25000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BELUM BAYAR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IF(1&lt;=$D$2,SUMIFS(PEMBAYARAN!$E$4:$E$500,PEMBAYARAN!$A$4:$A$500,$B43,PEMBAYARAN!$B$4:$B$500,"Oktober",PEMBAYARAN!$C$4:$C$500,"Minggu 1"),"")</f>
        <v>0</v>
      </c>
      <c r="D43" s="23">
        <f>IF(2&lt;=$D$2,SUMIFS(PEMBAYARAN!$E$4:$E$500,PEMBAYARAN!$A$4:$A$500,$B43,PEMBAYARAN!$B$4:$B$500,"Oktober",PEMBAYARAN!$C$4:$C$500,"Minggu 2"),"")</f>
        <v>0</v>
      </c>
      <c r="E43" s="23">
        <f>IF(3&lt;=$D$2,SUMIFS(PEMBAYARAN!$E$4:$E$500,PEMBAYARAN!$A$4:$A$500,$B43,PEMBAYARAN!$B$4:$B$500,"Oktober",PEMBAYARAN!$C$4:$C$500,"Minggu 3"),"")</f>
        <v>0</v>
      </c>
      <c r="F43" s="23">
        <f>IF(4&lt;=$D$2,SUMIFS(PEMBAYARAN!$E$4:$E$500,PEMBAYARAN!$A$4:$A$500,$B43,PEMBAYARAN!$B$4:$B$500,"Oktober",PEMBAYARAN!$C$4:$C$500,"Minggu 4"),"")</f>
        <v>0</v>
      </c>
      <c r="G43" s="23">
        <f>IF(5&lt;=$D$2,SUMIFS(PEMBAYARAN!$E$4:$E$500,PEMBAYARAN!$A$4:$A$500,$B43,PEMBAYARAN!$B$4:$B$500,"Oktober",PEMBAYARAN!$C$4:$C$500,"Minggu 5"),"")</f>
        <v>0</v>
      </c>
      <c r="H43" s="23">
        <f t="shared" si="0"/>
        <v>25000</v>
      </c>
      <c r="I43" s="23">
        <f t="shared" si="1"/>
        <v>0</v>
      </c>
      <c r="J43" s="23">
        <f t="shared" si="2"/>
        <v>25000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BELUM BAYAR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IF(1&lt;=$D$2,SUMIFS(PEMBAYARAN!$E$4:$E$500,PEMBAYARAN!$A$4:$A$500,$B44,PEMBAYARAN!$B$4:$B$500,"Oktober",PEMBAYARAN!$C$4:$C$500,"Minggu 1"),"")</f>
        <v>0</v>
      </c>
      <c r="D44" s="23">
        <f>IF(2&lt;=$D$2,SUMIFS(PEMBAYARAN!$E$4:$E$500,PEMBAYARAN!$A$4:$A$500,$B44,PEMBAYARAN!$B$4:$B$500,"Oktober",PEMBAYARAN!$C$4:$C$500,"Minggu 2"),"")</f>
        <v>0</v>
      </c>
      <c r="E44" s="23">
        <f>IF(3&lt;=$D$2,SUMIFS(PEMBAYARAN!$E$4:$E$500,PEMBAYARAN!$A$4:$A$500,$B44,PEMBAYARAN!$B$4:$B$500,"Oktober",PEMBAYARAN!$C$4:$C$500,"Minggu 3"),"")</f>
        <v>0</v>
      </c>
      <c r="F44" s="23">
        <f>IF(4&lt;=$D$2,SUMIFS(PEMBAYARAN!$E$4:$E$500,PEMBAYARAN!$A$4:$A$500,$B44,PEMBAYARAN!$B$4:$B$500,"Oktober",PEMBAYARAN!$C$4:$C$500,"Minggu 4"),"")</f>
        <v>0</v>
      </c>
      <c r="G44" s="23">
        <f>IF(5&lt;=$D$2,SUMIFS(PEMBAYARAN!$E$4:$E$500,PEMBAYARAN!$A$4:$A$500,$B44,PEMBAYARAN!$B$4:$B$500,"Oktober",PEMBAYARAN!$C$4:$C$500,"Minggu 5"),"")</f>
        <v>0</v>
      </c>
      <c r="H44" s="23">
        <f t="shared" si="0"/>
        <v>25000</v>
      </c>
      <c r="I44" s="23">
        <f t="shared" si="1"/>
        <v>0</v>
      </c>
      <c r="J44" s="23">
        <f t="shared" si="2"/>
        <v>25000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BELUM BAYAR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IF(1&lt;=$D$2,SUMIFS(PEMBAYARAN!$E$4:$E$500,PEMBAYARAN!$A$4:$A$500,$B45,PEMBAYARAN!$B$4:$B$500,"Oktober",PEMBAYARAN!$C$4:$C$500,"Minggu 1"),"")</f>
        <v>0</v>
      </c>
      <c r="D45" s="23">
        <f>IF(2&lt;=$D$2,SUMIFS(PEMBAYARAN!$E$4:$E$500,PEMBAYARAN!$A$4:$A$500,$B45,PEMBAYARAN!$B$4:$B$500,"Oktober",PEMBAYARAN!$C$4:$C$500,"Minggu 2"),"")</f>
        <v>0</v>
      </c>
      <c r="E45" s="23">
        <f>IF(3&lt;=$D$2,SUMIFS(PEMBAYARAN!$E$4:$E$500,PEMBAYARAN!$A$4:$A$500,$B45,PEMBAYARAN!$B$4:$B$500,"Oktober",PEMBAYARAN!$C$4:$C$500,"Minggu 3"),"")</f>
        <v>0</v>
      </c>
      <c r="F45" s="23">
        <f>IF(4&lt;=$D$2,SUMIFS(PEMBAYARAN!$E$4:$E$500,PEMBAYARAN!$A$4:$A$500,$B45,PEMBAYARAN!$B$4:$B$500,"Oktober",PEMBAYARAN!$C$4:$C$500,"Minggu 4"),"")</f>
        <v>0</v>
      </c>
      <c r="G45" s="23">
        <f>IF(5&lt;=$D$2,SUMIFS(PEMBAYARAN!$E$4:$E$500,PEMBAYARAN!$A$4:$A$500,$B45,PEMBAYARAN!$B$4:$B$500,"Oktober",PEMBAYARAN!$C$4:$C$500,"Minggu 5"),"")</f>
        <v>0</v>
      </c>
      <c r="H45" s="23">
        <f t="shared" si="0"/>
        <v>25000</v>
      </c>
      <c r="I45" s="23">
        <f t="shared" si="1"/>
        <v>0</v>
      </c>
      <c r="J45" s="23">
        <f t="shared" si="2"/>
        <v>25000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BELUM BAYAR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1025000</v>
      </c>
      <c r="I47" s="31">
        <f>SUM(I5:I45)</f>
        <v>0</v>
      </c>
      <c r="J47" s="31">
        <f>SUM(J5:J45)</f>
        <v>1025000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6000000}"/>
  <mergeCells count="2">
    <mergeCell ref="A1:L1"/>
    <mergeCell ref="A2:C2"/>
  </mergeCells>
  <conditionalFormatting sqref="L5:L45">
    <cfRule type="expression" dxfId="29" priority="2">
      <formula>LEFT(L5,5)="LUNAS"</formula>
    </cfRule>
    <cfRule type="cellIs" dxfId="28" priority="3" operator="equal">
      <formula>"CICILAN"</formula>
    </cfRule>
    <cfRule type="cellIs" dxfId="27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4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IF(1&lt;=$D$2,SUMIFS(PEMBAYARAN!$E$4:$E$500,PEMBAYARAN!$A$4:$A$500,$B5,PEMBAYARAN!$B$4:$B$500,"November",PEMBAYARAN!$C$4:$C$500,"Minggu 1"),"")</f>
        <v>0</v>
      </c>
      <c r="D5" s="23">
        <f>IF(2&lt;=$D$2,SUMIFS(PEMBAYARAN!$E$4:$E$500,PEMBAYARAN!$A$4:$A$500,$B5,PEMBAYARAN!$B$4:$B$500,"November",PEMBAYARAN!$C$4:$C$500,"Minggu 2"),"")</f>
        <v>0</v>
      </c>
      <c r="E5" s="23">
        <f>IF(3&lt;=$D$2,SUMIFS(PEMBAYARAN!$E$4:$E$500,PEMBAYARAN!$A$4:$A$500,$B5,PEMBAYARAN!$B$4:$B$500,"November",PEMBAYARAN!$C$4:$C$500,"Minggu 3"),"")</f>
        <v>0</v>
      </c>
      <c r="F5" s="23">
        <f>IF(4&lt;=$D$2,SUMIFS(PEMBAYARAN!$E$4:$E$500,PEMBAYARAN!$A$4:$A$500,$B5,PEMBAYARAN!$B$4:$B$500,"November",PEMBAYARAN!$C$4:$C$500,"Minggu 4"),"")</f>
        <v>0</v>
      </c>
      <c r="G5" s="23" t="str">
        <f>IF(5&lt;=$D$2,SUMIFS(PEMBAYARAN!$E$4:$E$500,PEMBAYARAN!$A$4:$A$500,$B5,PEMBAYARAN!$B$4:$B$500,"November",PEMBAYARAN!$C$4:$C$500,"Minggu 5"),"")</f>
        <v/>
      </c>
      <c r="H5" s="23">
        <f t="shared" ref="H5:H45" si="0">MIN($D$2,5)*$F$2</f>
        <v>20000</v>
      </c>
      <c r="I5" s="23">
        <f t="shared" ref="I5:I45" si="1">SUM(C5:G5)</f>
        <v>0</v>
      </c>
      <c r="J5" s="23">
        <f t="shared" ref="J5:J45" si="2">MAX(H5-I5,0)</f>
        <v>20000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-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IF(1&lt;=$D$2,SUMIFS(PEMBAYARAN!$E$4:$E$500,PEMBAYARAN!$A$4:$A$500,$B6,PEMBAYARAN!$B$4:$B$500,"November",PEMBAYARAN!$C$4:$C$500,"Minggu 1"),"")</f>
        <v>0</v>
      </c>
      <c r="D6" s="23">
        <f>IF(2&lt;=$D$2,SUMIFS(PEMBAYARAN!$E$4:$E$500,PEMBAYARAN!$A$4:$A$500,$B6,PEMBAYARAN!$B$4:$B$500,"November",PEMBAYARAN!$C$4:$C$500,"Minggu 2"),"")</f>
        <v>0</v>
      </c>
      <c r="E6" s="23">
        <f>IF(3&lt;=$D$2,SUMIFS(PEMBAYARAN!$E$4:$E$500,PEMBAYARAN!$A$4:$A$500,$B6,PEMBAYARAN!$B$4:$B$500,"November",PEMBAYARAN!$C$4:$C$500,"Minggu 3"),"")</f>
        <v>0</v>
      </c>
      <c r="F6" s="23">
        <f>IF(4&lt;=$D$2,SUMIFS(PEMBAYARAN!$E$4:$E$500,PEMBAYARAN!$A$4:$A$500,$B6,PEMBAYARAN!$B$4:$B$500,"November",PEMBAYARAN!$C$4:$C$500,"Minggu 4"),"")</f>
        <v>0</v>
      </c>
      <c r="G6" s="23" t="str">
        <f>IF(5&lt;=$D$2,SUMIFS(PEMBAYARAN!$E$4:$E$500,PEMBAYARAN!$A$4:$A$500,$B6,PEMBAYARAN!$B$4:$B$500,"November",PEMBAYARAN!$C$4:$C$500,"Minggu 5"),"")</f>
        <v/>
      </c>
      <c r="H6" s="23">
        <f t="shared" si="0"/>
        <v>20000</v>
      </c>
      <c r="I6" s="23">
        <f t="shared" si="1"/>
        <v>0</v>
      </c>
      <c r="J6" s="23">
        <f t="shared" si="2"/>
        <v>20000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-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IF(1&lt;=$D$2,SUMIFS(PEMBAYARAN!$E$4:$E$500,PEMBAYARAN!$A$4:$A$500,$B7,PEMBAYARAN!$B$4:$B$500,"November",PEMBAYARAN!$C$4:$C$500,"Minggu 1"),"")</f>
        <v>0</v>
      </c>
      <c r="D7" s="23">
        <f>IF(2&lt;=$D$2,SUMIFS(PEMBAYARAN!$E$4:$E$500,PEMBAYARAN!$A$4:$A$500,$B7,PEMBAYARAN!$B$4:$B$500,"November",PEMBAYARAN!$C$4:$C$500,"Minggu 2"),"")</f>
        <v>0</v>
      </c>
      <c r="E7" s="23">
        <f>IF(3&lt;=$D$2,SUMIFS(PEMBAYARAN!$E$4:$E$500,PEMBAYARAN!$A$4:$A$500,$B7,PEMBAYARAN!$B$4:$B$500,"November",PEMBAYARAN!$C$4:$C$500,"Minggu 3"),"")</f>
        <v>0</v>
      </c>
      <c r="F7" s="23">
        <f>IF(4&lt;=$D$2,SUMIFS(PEMBAYARAN!$E$4:$E$500,PEMBAYARAN!$A$4:$A$500,$B7,PEMBAYARAN!$B$4:$B$500,"November",PEMBAYARAN!$C$4:$C$500,"Minggu 4"),"")</f>
        <v>0</v>
      </c>
      <c r="G7" s="23" t="str">
        <f>IF(5&lt;=$D$2,SUMIFS(PEMBAYARAN!$E$4:$E$500,PEMBAYARAN!$A$4:$A$500,$B7,PEMBAYARAN!$B$4:$B$500,"November",PEMBAYARAN!$C$4:$C$500,"Minggu 5"),"")</f>
        <v/>
      </c>
      <c r="H7" s="23">
        <f t="shared" si="0"/>
        <v>20000</v>
      </c>
      <c r="I7" s="23">
        <f t="shared" si="1"/>
        <v>0</v>
      </c>
      <c r="J7" s="23">
        <f t="shared" si="2"/>
        <v>20000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-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IF(1&lt;=$D$2,SUMIFS(PEMBAYARAN!$E$4:$E$500,PEMBAYARAN!$A$4:$A$500,$B8,PEMBAYARAN!$B$4:$B$500,"November",PEMBAYARAN!$C$4:$C$500,"Minggu 1"),"")</f>
        <v>0</v>
      </c>
      <c r="D8" s="23">
        <f>IF(2&lt;=$D$2,SUMIFS(PEMBAYARAN!$E$4:$E$500,PEMBAYARAN!$A$4:$A$500,$B8,PEMBAYARAN!$B$4:$B$500,"November",PEMBAYARAN!$C$4:$C$500,"Minggu 2"),"")</f>
        <v>0</v>
      </c>
      <c r="E8" s="23">
        <f>IF(3&lt;=$D$2,SUMIFS(PEMBAYARAN!$E$4:$E$500,PEMBAYARAN!$A$4:$A$500,$B8,PEMBAYARAN!$B$4:$B$500,"November",PEMBAYARAN!$C$4:$C$500,"Minggu 3"),"")</f>
        <v>0</v>
      </c>
      <c r="F8" s="23">
        <f>IF(4&lt;=$D$2,SUMIFS(PEMBAYARAN!$E$4:$E$500,PEMBAYARAN!$A$4:$A$500,$B8,PEMBAYARAN!$B$4:$B$500,"November",PEMBAYARAN!$C$4:$C$500,"Minggu 4"),"")</f>
        <v>0</v>
      </c>
      <c r="G8" s="23" t="str">
        <f>IF(5&lt;=$D$2,SUMIFS(PEMBAYARAN!$E$4:$E$500,PEMBAYARAN!$A$4:$A$500,$B8,PEMBAYARAN!$B$4:$B$500,"November",PEMBAYARAN!$C$4:$C$500,"Minggu 5"),"")</f>
        <v/>
      </c>
      <c r="H8" s="23">
        <f t="shared" si="0"/>
        <v>20000</v>
      </c>
      <c r="I8" s="23">
        <f t="shared" si="1"/>
        <v>0</v>
      </c>
      <c r="J8" s="23">
        <f t="shared" si="2"/>
        <v>20000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-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IF(1&lt;=$D$2,SUMIFS(PEMBAYARAN!$E$4:$E$500,PEMBAYARAN!$A$4:$A$500,$B9,PEMBAYARAN!$B$4:$B$500,"November",PEMBAYARAN!$C$4:$C$500,"Minggu 1"),"")</f>
        <v>0</v>
      </c>
      <c r="D9" s="23">
        <f>IF(2&lt;=$D$2,SUMIFS(PEMBAYARAN!$E$4:$E$500,PEMBAYARAN!$A$4:$A$500,$B9,PEMBAYARAN!$B$4:$B$500,"November",PEMBAYARAN!$C$4:$C$500,"Minggu 2"),"")</f>
        <v>0</v>
      </c>
      <c r="E9" s="23">
        <f>IF(3&lt;=$D$2,SUMIFS(PEMBAYARAN!$E$4:$E$500,PEMBAYARAN!$A$4:$A$500,$B9,PEMBAYARAN!$B$4:$B$500,"November",PEMBAYARAN!$C$4:$C$500,"Minggu 3"),"")</f>
        <v>0</v>
      </c>
      <c r="F9" s="23">
        <f>IF(4&lt;=$D$2,SUMIFS(PEMBAYARAN!$E$4:$E$500,PEMBAYARAN!$A$4:$A$500,$B9,PEMBAYARAN!$B$4:$B$500,"November",PEMBAYARAN!$C$4:$C$500,"Minggu 4"),"")</f>
        <v>0</v>
      </c>
      <c r="G9" s="23" t="str">
        <f>IF(5&lt;=$D$2,SUMIFS(PEMBAYARAN!$E$4:$E$500,PEMBAYARAN!$A$4:$A$500,$B9,PEMBAYARAN!$B$4:$B$500,"November",PEMBAYARAN!$C$4:$C$500,"Minggu 5"),"")</f>
        <v/>
      </c>
      <c r="H9" s="23">
        <f t="shared" si="0"/>
        <v>20000</v>
      </c>
      <c r="I9" s="23">
        <f t="shared" si="1"/>
        <v>0</v>
      </c>
      <c r="J9" s="23">
        <f t="shared" si="2"/>
        <v>20000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-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IF(1&lt;=$D$2,SUMIFS(PEMBAYARAN!$E$4:$E$500,PEMBAYARAN!$A$4:$A$500,$B10,PEMBAYARAN!$B$4:$B$500,"November",PEMBAYARAN!$C$4:$C$500,"Minggu 1"),"")</f>
        <v>0</v>
      </c>
      <c r="D10" s="23">
        <f>IF(2&lt;=$D$2,SUMIFS(PEMBAYARAN!$E$4:$E$500,PEMBAYARAN!$A$4:$A$500,$B10,PEMBAYARAN!$B$4:$B$500,"November",PEMBAYARAN!$C$4:$C$500,"Minggu 2"),"")</f>
        <v>0</v>
      </c>
      <c r="E10" s="23">
        <f>IF(3&lt;=$D$2,SUMIFS(PEMBAYARAN!$E$4:$E$500,PEMBAYARAN!$A$4:$A$500,$B10,PEMBAYARAN!$B$4:$B$500,"November",PEMBAYARAN!$C$4:$C$500,"Minggu 3"),"")</f>
        <v>0</v>
      </c>
      <c r="F10" s="23">
        <f>IF(4&lt;=$D$2,SUMIFS(PEMBAYARAN!$E$4:$E$500,PEMBAYARAN!$A$4:$A$500,$B10,PEMBAYARAN!$B$4:$B$500,"November",PEMBAYARAN!$C$4:$C$500,"Minggu 4"),"")</f>
        <v>0</v>
      </c>
      <c r="G10" s="23" t="str">
        <f>IF(5&lt;=$D$2,SUMIFS(PEMBAYARAN!$E$4:$E$500,PEMBAYARAN!$A$4:$A$500,$B10,PEMBAYARAN!$B$4:$B$500,"November",PEMBAYARAN!$C$4:$C$500,"Minggu 5"),"")</f>
        <v/>
      </c>
      <c r="H10" s="23">
        <f t="shared" si="0"/>
        <v>20000</v>
      </c>
      <c r="I10" s="23">
        <f t="shared" si="1"/>
        <v>0</v>
      </c>
      <c r="J10" s="23">
        <f t="shared" si="2"/>
        <v>20000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-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IF(1&lt;=$D$2,SUMIFS(PEMBAYARAN!$E$4:$E$500,PEMBAYARAN!$A$4:$A$500,$B11,PEMBAYARAN!$B$4:$B$500,"November",PEMBAYARAN!$C$4:$C$500,"Minggu 1"),"")</f>
        <v>0</v>
      </c>
      <c r="D11" s="23">
        <f>IF(2&lt;=$D$2,SUMIFS(PEMBAYARAN!$E$4:$E$500,PEMBAYARAN!$A$4:$A$500,$B11,PEMBAYARAN!$B$4:$B$500,"November",PEMBAYARAN!$C$4:$C$500,"Minggu 2"),"")</f>
        <v>0</v>
      </c>
      <c r="E11" s="23">
        <f>IF(3&lt;=$D$2,SUMIFS(PEMBAYARAN!$E$4:$E$500,PEMBAYARAN!$A$4:$A$500,$B11,PEMBAYARAN!$B$4:$B$500,"November",PEMBAYARAN!$C$4:$C$500,"Minggu 3"),"")</f>
        <v>0</v>
      </c>
      <c r="F11" s="23">
        <f>IF(4&lt;=$D$2,SUMIFS(PEMBAYARAN!$E$4:$E$500,PEMBAYARAN!$A$4:$A$500,$B11,PEMBAYARAN!$B$4:$B$500,"November",PEMBAYARAN!$C$4:$C$500,"Minggu 4"),"")</f>
        <v>0</v>
      </c>
      <c r="G11" s="23" t="str">
        <f>IF(5&lt;=$D$2,SUMIFS(PEMBAYARAN!$E$4:$E$500,PEMBAYARAN!$A$4:$A$500,$B11,PEMBAYARAN!$B$4:$B$500,"November",PEMBAYARAN!$C$4:$C$500,"Minggu 5"),"")</f>
        <v/>
      </c>
      <c r="H11" s="23">
        <f t="shared" si="0"/>
        <v>20000</v>
      </c>
      <c r="I11" s="23">
        <f t="shared" si="1"/>
        <v>0</v>
      </c>
      <c r="J11" s="23">
        <f t="shared" si="2"/>
        <v>20000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-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IF(1&lt;=$D$2,SUMIFS(PEMBAYARAN!$E$4:$E$500,PEMBAYARAN!$A$4:$A$500,$B12,PEMBAYARAN!$B$4:$B$500,"November",PEMBAYARAN!$C$4:$C$500,"Minggu 1"),"")</f>
        <v>0</v>
      </c>
      <c r="D12" s="23">
        <f>IF(2&lt;=$D$2,SUMIFS(PEMBAYARAN!$E$4:$E$500,PEMBAYARAN!$A$4:$A$500,$B12,PEMBAYARAN!$B$4:$B$500,"November",PEMBAYARAN!$C$4:$C$500,"Minggu 2"),"")</f>
        <v>0</v>
      </c>
      <c r="E12" s="23">
        <f>IF(3&lt;=$D$2,SUMIFS(PEMBAYARAN!$E$4:$E$500,PEMBAYARAN!$A$4:$A$500,$B12,PEMBAYARAN!$B$4:$B$500,"November",PEMBAYARAN!$C$4:$C$500,"Minggu 3"),"")</f>
        <v>0</v>
      </c>
      <c r="F12" s="23">
        <f>IF(4&lt;=$D$2,SUMIFS(PEMBAYARAN!$E$4:$E$500,PEMBAYARAN!$A$4:$A$500,$B12,PEMBAYARAN!$B$4:$B$500,"November",PEMBAYARAN!$C$4:$C$500,"Minggu 4"),"")</f>
        <v>0</v>
      </c>
      <c r="G12" s="23" t="str">
        <f>IF(5&lt;=$D$2,SUMIFS(PEMBAYARAN!$E$4:$E$500,PEMBAYARAN!$A$4:$A$500,$B12,PEMBAYARAN!$B$4:$B$500,"November",PEMBAYARAN!$C$4:$C$500,"Minggu 5"),"")</f>
        <v/>
      </c>
      <c r="H12" s="23">
        <f t="shared" si="0"/>
        <v>20000</v>
      </c>
      <c r="I12" s="23">
        <f t="shared" si="1"/>
        <v>0</v>
      </c>
      <c r="J12" s="23">
        <f t="shared" si="2"/>
        <v>20000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-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IF(1&lt;=$D$2,SUMIFS(PEMBAYARAN!$E$4:$E$500,PEMBAYARAN!$A$4:$A$500,$B13,PEMBAYARAN!$B$4:$B$500,"November",PEMBAYARAN!$C$4:$C$500,"Minggu 1"),"")</f>
        <v>0</v>
      </c>
      <c r="D13" s="23">
        <f>IF(2&lt;=$D$2,SUMIFS(PEMBAYARAN!$E$4:$E$500,PEMBAYARAN!$A$4:$A$500,$B13,PEMBAYARAN!$B$4:$B$500,"November",PEMBAYARAN!$C$4:$C$500,"Minggu 2"),"")</f>
        <v>0</v>
      </c>
      <c r="E13" s="23">
        <f>IF(3&lt;=$D$2,SUMIFS(PEMBAYARAN!$E$4:$E$500,PEMBAYARAN!$A$4:$A$500,$B13,PEMBAYARAN!$B$4:$B$500,"November",PEMBAYARAN!$C$4:$C$500,"Minggu 3"),"")</f>
        <v>0</v>
      </c>
      <c r="F13" s="23">
        <f>IF(4&lt;=$D$2,SUMIFS(PEMBAYARAN!$E$4:$E$500,PEMBAYARAN!$A$4:$A$500,$B13,PEMBAYARAN!$B$4:$B$500,"November",PEMBAYARAN!$C$4:$C$500,"Minggu 4"),"")</f>
        <v>0</v>
      </c>
      <c r="G13" s="23" t="str">
        <f>IF(5&lt;=$D$2,SUMIFS(PEMBAYARAN!$E$4:$E$500,PEMBAYARAN!$A$4:$A$500,$B13,PEMBAYARAN!$B$4:$B$500,"November",PEMBAYARAN!$C$4:$C$500,"Minggu 5"),"")</f>
        <v/>
      </c>
      <c r="H13" s="23">
        <f t="shared" si="0"/>
        <v>20000</v>
      </c>
      <c r="I13" s="23">
        <f t="shared" si="1"/>
        <v>0</v>
      </c>
      <c r="J13" s="23">
        <f t="shared" si="2"/>
        <v>20000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-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IF(1&lt;=$D$2,SUMIFS(PEMBAYARAN!$E$4:$E$500,PEMBAYARAN!$A$4:$A$500,$B14,PEMBAYARAN!$B$4:$B$500,"November",PEMBAYARAN!$C$4:$C$500,"Minggu 1"),"")</f>
        <v>0</v>
      </c>
      <c r="D14" s="23">
        <f>IF(2&lt;=$D$2,SUMIFS(PEMBAYARAN!$E$4:$E$500,PEMBAYARAN!$A$4:$A$500,$B14,PEMBAYARAN!$B$4:$B$500,"November",PEMBAYARAN!$C$4:$C$500,"Minggu 2"),"")</f>
        <v>0</v>
      </c>
      <c r="E14" s="23">
        <f>IF(3&lt;=$D$2,SUMIFS(PEMBAYARAN!$E$4:$E$500,PEMBAYARAN!$A$4:$A$500,$B14,PEMBAYARAN!$B$4:$B$500,"November",PEMBAYARAN!$C$4:$C$500,"Minggu 3"),"")</f>
        <v>0</v>
      </c>
      <c r="F14" s="23">
        <f>IF(4&lt;=$D$2,SUMIFS(PEMBAYARAN!$E$4:$E$500,PEMBAYARAN!$A$4:$A$500,$B14,PEMBAYARAN!$B$4:$B$500,"November",PEMBAYARAN!$C$4:$C$500,"Minggu 4"),"")</f>
        <v>0</v>
      </c>
      <c r="G14" s="23" t="str">
        <f>IF(5&lt;=$D$2,SUMIFS(PEMBAYARAN!$E$4:$E$500,PEMBAYARAN!$A$4:$A$500,$B14,PEMBAYARAN!$B$4:$B$500,"November",PEMBAYARAN!$C$4:$C$500,"Minggu 5"),"")</f>
        <v/>
      </c>
      <c r="H14" s="23">
        <f t="shared" si="0"/>
        <v>20000</v>
      </c>
      <c r="I14" s="23">
        <f t="shared" si="1"/>
        <v>0</v>
      </c>
      <c r="J14" s="23">
        <f t="shared" si="2"/>
        <v>20000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-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IF(1&lt;=$D$2,SUMIFS(PEMBAYARAN!$E$4:$E$500,PEMBAYARAN!$A$4:$A$500,$B15,PEMBAYARAN!$B$4:$B$500,"November",PEMBAYARAN!$C$4:$C$500,"Minggu 1"),"")</f>
        <v>0</v>
      </c>
      <c r="D15" s="23">
        <f>IF(2&lt;=$D$2,SUMIFS(PEMBAYARAN!$E$4:$E$500,PEMBAYARAN!$A$4:$A$500,$B15,PEMBAYARAN!$B$4:$B$500,"November",PEMBAYARAN!$C$4:$C$500,"Minggu 2"),"")</f>
        <v>0</v>
      </c>
      <c r="E15" s="23">
        <f>IF(3&lt;=$D$2,SUMIFS(PEMBAYARAN!$E$4:$E$500,PEMBAYARAN!$A$4:$A$500,$B15,PEMBAYARAN!$B$4:$B$500,"November",PEMBAYARAN!$C$4:$C$500,"Minggu 3"),"")</f>
        <v>0</v>
      </c>
      <c r="F15" s="23">
        <f>IF(4&lt;=$D$2,SUMIFS(PEMBAYARAN!$E$4:$E$500,PEMBAYARAN!$A$4:$A$500,$B15,PEMBAYARAN!$B$4:$B$500,"November",PEMBAYARAN!$C$4:$C$500,"Minggu 4"),"")</f>
        <v>0</v>
      </c>
      <c r="G15" s="23" t="str">
        <f>IF(5&lt;=$D$2,SUMIFS(PEMBAYARAN!$E$4:$E$500,PEMBAYARAN!$A$4:$A$500,$B15,PEMBAYARAN!$B$4:$B$500,"November",PEMBAYARAN!$C$4:$C$500,"Minggu 5"),"")</f>
        <v/>
      </c>
      <c r="H15" s="23">
        <f t="shared" si="0"/>
        <v>20000</v>
      </c>
      <c r="I15" s="23">
        <f t="shared" si="1"/>
        <v>0</v>
      </c>
      <c r="J15" s="23">
        <f t="shared" si="2"/>
        <v>20000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-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IF(1&lt;=$D$2,SUMIFS(PEMBAYARAN!$E$4:$E$500,PEMBAYARAN!$A$4:$A$500,$B16,PEMBAYARAN!$B$4:$B$500,"November",PEMBAYARAN!$C$4:$C$500,"Minggu 1"),"")</f>
        <v>0</v>
      </c>
      <c r="D16" s="23">
        <f>IF(2&lt;=$D$2,SUMIFS(PEMBAYARAN!$E$4:$E$500,PEMBAYARAN!$A$4:$A$500,$B16,PEMBAYARAN!$B$4:$B$500,"November",PEMBAYARAN!$C$4:$C$500,"Minggu 2"),"")</f>
        <v>0</v>
      </c>
      <c r="E16" s="23">
        <f>IF(3&lt;=$D$2,SUMIFS(PEMBAYARAN!$E$4:$E$500,PEMBAYARAN!$A$4:$A$500,$B16,PEMBAYARAN!$B$4:$B$500,"November",PEMBAYARAN!$C$4:$C$500,"Minggu 3"),"")</f>
        <v>0</v>
      </c>
      <c r="F16" s="23">
        <f>IF(4&lt;=$D$2,SUMIFS(PEMBAYARAN!$E$4:$E$500,PEMBAYARAN!$A$4:$A$500,$B16,PEMBAYARAN!$B$4:$B$500,"November",PEMBAYARAN!$C$4:$C$500,"Minggu 4"),"")</f>
        <v>0</v>
      </c>
      <c r="G16" s="23" t="str">
        <f>IF(5&lt;=$D$2,SUMIFS(PEMBAYARAN!$E$4:$E$500,PEMBAYARAN!$A$4:$A$500,$B16,PEMBAYARAN!$B$4:$B$500,"November",PEMBAYARAN!$C$4:$C$500,"Minggu 5"),"")</f>
        <v/>
      </c>
      <c r="H16" s="23">
        <f t="shared" si="0"/>
        <v>20000</v>
      </c>
      <c r="I16" s="23">
        <f t="shared" si="1"/>
        <v>0</v>
      </c>
      <c r="J16" s="23">
        <f t="shared" si="2"/>
        <v>20000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-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IF(1&lt;=$D$2,SUMIFS(PEMBAYARAN!$E$4:$E$500,PEMBAYARAN!$A$4:$A$500,$B17,PEMBAYARAN!$B$4:$B$500,"November",PEMBAYARAN!$C$4:$C$500,"Minggu 1"),"")</f>
        <v>0</v>
      </c>
      <c r="D17" s="23">
        <f>IF(2&lt;=$D$2,SUMIFS(PEMBAYARAN!$E$4:$E$500,PEMBAYARAN!$A$4:$A$500,$B17,PEMBAYARAN!$B$4:$B$500,"November",PEMBAYARAN!$C$4:$C$500,"Minggu 2"),"")</f>
        <v>0</v>
      </c>
      <c r="E17" s="23">
        <f>IF(3&lt;=$D$2,SUMIFS(PEMBAYARAN!$E$4:$E$500,PEMBAYARAN!$A$4:$A$500,$B17,PEMBAYARAN!$B$4:$B$500,"November",PEMBAYARAN!$C$4:$C$500,"Minggu 3"),"")</f>
        <v>0</v>
      </c>
      <c r="F17" s="23">
        <f>IF(4&lt;=$D$2,SUMIFS(PEMBAYARAN!$E$4:$E$500,PEMBAYARAN!$A$4:$A$500,$B17,PEMBAYARAN!$B$4:$B$500,"November",PEMBAYARAN!$C$4:$C$500,"Minggu 4"),"")</f>
        <v>0</v>
      </c>
      <c r="G17" s="23" t="str">
        <f>IF(5&lt;=$D$2,SUMIFS(PEMBAYARAN!$E$4:$E$500,PEMBAYARAN!$A$4:$A$500,$B17,PEMBAYARAN!$B$4:$B$500,"November",PEMBAYARAN!$C$4:$C$500,"Minggu 5"),"")</f>
        <v/>
      </c>
      <c r="H17" s="23">
        <f t="shared" si="0"/>
        <v>20000</v>
      </c>
      <c r="I17" s="23">
        <f t="shared" si="1"/>
        <v>0</v>
      </c>
      <c r="J17" s="23">
        <f t="shared" si="2"/>
        <v>20000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-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IF(1&lt;=$D$2,SUMIFS(PEMBAYARAN!$E$4:$E$500,PEMBAYARAN!$A$4:$A$500,$B18,PEMBAYARAN!$B$4:$B$500,"November",PEMBAYARAN!$C$4:$C$500,"Minggu 1"),"")</f>
        <v>0</v>
      </c>
      <c r="D18" s="23">
        <f>IF(2&lt;=$D$2,SUMIFS(PEMBAYARAN!$E$4:$E$500,PEMBAYARAN!$A$4:$A$500,$B18,PEMBAYARAN!$B$4:$B$500,"November",PEMBAYARAN!$C$4:$C$500,"Minggu 2"),"")</f>
        <v>0</v>
      </c>
      <c r="E18" s="23">
        <f>IF(3&lt;=$D$2,SUMIFS(PEMBAYARAN!$E$4:$E$500,PEMBAYARAN!$A$4:$A$500,$B18,PEMBAYARAN!$B$4:$B$500,"November",PEMBAYARAN!$C$4:$C$500,"Minggu 3"),"")</f>
        <v>0</v>
      </c>
      <c r="F18" s="23">
        <f>IF(4&lt;=$D$2,SUMIFS(PEMBAYARAN!$E$4:$E$500,PEMBAYARAN!$A$4:$A$500,$B18,PEMBAYARAN!$B$4:$B$500,"November",PEMBAYARAN!$C$4:$C$500,"Minggu 4"),"")</f>
        <v>0</v>
      </c>
      <c r="G18" s="23" t="str">
        <f>IF(5&lt;=$D$2,SUMIFS(PEMBAYARAN!$E$4:$E$500,PEMBAYARAN!$A$4:$A$500,$B18,PEMBAYARAN!$B$4:$B$500,"November",PEMBAYARAN!$C$4:$C$500,"Minggu 5"),"")</f>
        <v/>
      </c>
      <c r="H18" s="23">
        <f t="shared" si="0"/>
        <v>20000</v>
      </c>
      <c r="I18" s="23">
        <f t="shared" si="1"/>
        <v>0</v>
      </c>
      <c r="J18" s="23">
        <f t="shared" si="2"/>
        <v>20000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-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IF(1&lt;=$D$2,SUMIFS(PEMBAYARAN!$E$4:$E$500,PEMBAYARAN!$A$4:$A$500,$B19,PEMBAYARAN!$B$4:$B$500,"November",PEMBAYARAN!$C$4:$C$500,"Minggu 1"),"")</f>
        <v>0</v>
      </c>
      <c r="D19" s="23">
        <f>IF(2&lt;=$D$2,SUMIFS(PEMBAYARAN!$E$4:$E$500,PEMBAYARAN!$A$4:$A$500,$B19,PEMBAYARAN!$B$4:$B$500,"November",PEMBAYARAN!$C$4:$C$500,"Minggu 2"),"")</f>
        <v>0</v>
      </c>
      <c r="E19" s="23">
        <f>IF(3&lt;=$D$2,SUMIFS(PEMBAYARAN!$E$4:$E$500,PEMBAYARAN!$A$4:$A$500,$B19,PEMBAYARAN!$B$4:$B$500,"November",PEMBAYARAN!$C$4:$C$500,"Minggu 3"),"")</f>
        <v>0</v>
      </c>
      <c r="F19" s="23">
        <f>IF(4&lt;=$D$2,SUMIFS(PEMBAYARAN!$E$4:$E$500,PEMBAYARAN!$A$4:$A$500,$B19,PEMBAYARAN!$B$4:$B$500,"November",PEMBAYARAN!$C$4:$C$500,"Minggu 4"),"")</f>
        <v>0</v>
      </c>
      <c r="G19" s="23" t="str">
        <f>IF(5&lt;=$D$2,SUMIFS(PEMBAYARAN!$E$4:$E$500,PEMBAYARAN!$A$4:$A$500,$B19,PEMBAYARAN!$B$4:$B$500,"November",PEMBAYARAN!$C$4:$C$500,"Minggu 5"),"")</f>
        <v/>
      </c>
      <c r="H19" s="23">
        <f t="shared" si="0"/>
        <v>20000</v>
      </c>
      <c r="I19" s="23">
        <f t="shared" si="1"/>
        <v>0</v>
      </c>
      <c r="J19" s="23">
        <f t="shared" si="2"/>
        <v>20000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-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IF(1&lt;=$D$2,SUMIFS(PEMBAYARAN!$E$4:$E$500,PEMBAYARAN!$A$4:$A$500,$B20,PEMBAYARAN!$B$4:$B$500,"November",PEMBAYARAN!$C$4:$C$500,"Minggu 1"),"")</f>
        <v>0</v>
      </c>
      <c r="D20" s="23">
        <f>IF(2&lt;=$D$2,SUMIFS(PEMBAYARAN!$E$4:$E$500,PEMBAYARAN!$A$4:$A$500,$B20,PEMBAYARAN!$B$4:$B$500,"November",PEMBAYARAN!$C$4:$C$500,"Minggu 2"),"")</f>
        <v>0</v>
      </c>
      <c r="E20" s="23">
        <f>IF(3&lt;=$D$2,SUMIFS(PEMBAYARAN!$E$4:$E$500,PEMBAYARAN!$A$4:$A$500,$B20,PEMBAYARAN!$B$4:$B$500,"November",PEMBAYARAN!$C$4:$C$500,"Minggu 3"),"")</f>
        <v>0</v>
      </c>
      <c r="F20" s="23">
        <f>IF(4&lt;=$D$2,SUMIFS(PEMBAYARAN!$E$4:$E$500,PEMBAYARAN!$A$4:$A$500,$B20,PEMBAYARAN!$B$4:$B$500,"November",PEMBAYARAN!$C$4:$C$500,"Minggu 4"),"")</f>
        <v>0</v>
      </c>
      <c r="G20" s="23" t="str">
        <f>IF(5&lt;=$D$2,SUMIFS(PEMBAYARAN!$E$4:$E$500,PEMBAYARAN!$A$4:$A$500,$B20,PEMBAYARAN!$B$4:$B$500,"November",PEMBAYARAN!$C$4:$C$500,"Minggu 5"),"")</f>
        <v/>
      </c>
      <c r="H20" s="23">
        <f t="shared" si="0"/>
        <v>20000</v>
      </c>
      <c r="I20" s="23">
        <f t="shared" si="1"/>
        <v>0</v>
      </c>
      <c r="J20" s="23">
        <f t="shared" si="2"/>
        <v>20000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-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IF(1&lt;=$D$2,SUMIFS(PEMBAYARAN!$E$4:$E$500,PEMBAYARAN!$A$4:$A$500,$B21,PEMBAYARAN!$B$4:$B$500,"November",PEMBAYARAN!$C$4:$C$500,"Minggu 1"),"")</f>
        <v>0</v>
      </c>
      <c r="D21" s="23">
        <f>IF(2&lt;=$D$2,SUMIFS(PEMBAYARAN!$E$4:$E$500,PEMBAYARAN!$A$4:$A$500,$B21,PEMBAYARAN!$B$4:$B$500,"November",PEMBAYARAN!$C$4:$C$500,"Minggu 2"),"")</f>
        <v>0</v>
      </c>
      <c r="E21" s="23">
        <f>IF(3&lt;=$D$2,SUMIFS(PEMBAYARAN!$E$4:$E$500,PEMBAYARAN!$A$4:$A$500,$B21,PEMBAYARAN!$B$4:$B$500,"November",PEMBAYARAN!$C$4:$C$500,"Minggu 3"),"")</f>
        <v>0</v>
      </c>
      <c r="F21" s="23">
        <f>IF(4&lt;=$D$2,SUMIFS(PEMBAYARAN!$E$4:$E$500,PEMBAYARAN!$A$4:$A$500,$B21,PEMBAYARAN!$B$4:$B$500,"November",PEMBAYARAN!$C$4:$C$500,"Minggu 4"),"")</f>
        <v>0</v>
      </c>
      <c r="G21" s="23" t="str">
        <f>IF(5&lt;=$D$2,SUMIFS(PEMBAYARAN!$E$4:$E$500,PEMBAYARAN!$A$4:$A$500,$B21,PEMBAYARAN!$B$4:$B$500,"November",PEMBAYARAN!$C$4:$C$500,"Minggu 5"),"")</f>
        <v/>
      </c>
      <c r="H21" s="23">
        <f t="shared" si="0"/>
        <v>20000</v>
      </c>
      <c r="I21" s="23">
        <f t="shared" si="1"/>
        <v>0</v>
      </c>
      <c r="J21" s="23">
        <f t="shared" si="2"/>
        <v>20000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-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IF(1&lt;=$D$2,SUMIFS(PEMBAYARAN!$E$4:$E$500,PEMBAYARAN!$A$4:$A$500,$B22,PEMBAYARAN!$B$4:$B$500,"November",PEMBAYARAN!$C$4:$C$500,"Minggu 1"),"")</f>
        <v>0</v>
      </c>
      <c r="D22" s="23">
        <f>IF(2&lt;=$D$2,SUMIFS(PEMBAYARAN!$E$4:$E$500,PEMBAYARAN!$A$4:$A$500,$B22,PEMBAYARAN!$B$4:$B$500,"November",PEMBAYARAN!$C$4:$C$500,"Minggu 2"),"")</f>
        <v>0</v>
      </c>
      <c r="E22" s="23">
        <f>IF(3&lt;=$D$2,SUMIFS(PEMBAYARAN!$E$4:$E$500,PEMBAYARAN!$A$4:$A$500,$B22,PEMBAYARAN!$B$4:$B$500,"November",PEMBAYARAN!$C$4:$C$500,"Minggu 3"),"")</f>
        <v>0</v>
      </c>
      <c r="F22" s="23">
        <f>IF(4&lt;=$D$2,SUMIFS(PEMBAYARAN!$E$4:$E$500,PEMBAYARAN!$A$4:$A$500,$B22,PEMBAYARAN!$B$4:$B$500,"November",PEMBAYARAN!$C$4:$C$500,"Minggu 4"),"")</f>
        <v>0</v>
      </c>
      <c r="G22" s="23" t="str">
        <f>IF(5&lt;=$D$2,SUMIFS(PEMBAYARAN!$E$4:$E$500,PEMBAYARAN!$A$4:$A$500,$B22,PEMBAYARAN!$B$4:$B$500,"November",PEMBAYARAN!$C$4:$C$500,"Minggu 5"),"")</f>
        <v/>
      </c>
      <c r="H22" s="23">
        <f t="shared" si="0"/>
        <v>20000</v>
      </c>
      <c r="I22" s="23">
        <f t="shared" si="1"/>
        <v>0</v>
      </c>
      <c r="J22" s="23">
        <f t="shared" si="2"/>
        <v>20000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-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IF(1&lt;=$D$2,SUMIFS(PEMBAYARAN!$E$4:$E$500,PEMBAYARAN!$A$4:$A$500,$B23,PEMBAYARAN!$B$4:$B$500,"November",PEMBAYARAN!$C$4:$C$500,"Minggu 1"),"")</f>
        <v>0</v>
      </c>
      <c r="D23" s="23">
        <f>IF(2&lt;=$D$2,SUMIFS(PEMBAYARAN!$E$4:$E$500,PEMBAYARAN!$A$4:$A$500,$B23,PEMBAYARAN!$B$4:$B$500,"November",PEMBAYARAN!$C$4:$C$500,"Minggu 2"),"")</f>
        <v>0</v>
      </c>
      <c r="E23" s="23">
        <f>IF(3&lt;=$D$2,SUMIFS(PEMBAYARAN!$E$4:$E$500,PEMBAYARAN!$A$4:$A$500,$B23,PEMBAYARAN!$B$4:$B$500,"November",PEMBAYARAN!$C$4:$C$500,"Minggu 3"),"")</f>
        <v>0</v>
      </c>
      <c r="F23" s="23">
        <f>IF(4&lt;=$D$2,SUMIFS(PEMBAYARAN!$E$4:$E$500,PEMBAYARAN!$A$4:$A$500,$B23,PEMBAYARAN!$B$4:$B$500,"November",PEMBAYARAN!$C$4:$C$500,"Minggu 4"),"")</f>
        <v>0</v>
      </c>
      <c r="G23" s="23" t="str">
        <f>IF(5&lt;=$D$2,SUMIFS(PEMBAYARAN!$E$4:$E$500,PEMBAYARAN!$A$4:$A$500,$B23,PEMBAYARAN!$B$4:$B$500,"November",PEMBAYARAN!$C$4:$C$500,"Minggu 5"),"")</f>
        <v/>
      </c>
      <c r="H23" s="23">
        <f t="shared" si="0"/>
        <v>20000</v>
      </c>
      <c r="I23" s="23">
        <f t="shared" si="1"/>
        <v>0</v>
      </c>
      <c r="J23" s="23">
        <f t="shared" si="2"/>
        <v>20000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-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IF(1&lt;=$D$2,SUMIFS(PEMBAYARAN!$E$4:$E$500,PEMBAYARAN!$A$4:$A$500,$B24,PEMBAYARAN!$B$4:$B$500,"November",PEMBAYARAN!$C$4:$C$500,"Minggu 1"),"")</f>
        <v>0</v>
      </c>
      <c r="D24" s="23">
        <f>IF(2&lt;=$D$2,SUMIFS(PEMBAYARAN!$E$4:$E$500,PEMBAYARAN!$A$4:$A$500,$B24,PEMBAYARAN!$B$4:$B$500,"November",PEMBAYARAN!$C$4:$C$500,"Minggu 2"),"")</f>
        <v>0</v>
      </c>
      <c r="E24" s="23">
        <f>IF(3&lt;=$D$2,SUMIFS(PEMBAYARAN!$E$4:$E$500,PEMBAYARAN!$A$4:$A$500,$B24,PEMBAYARAN!$B$4:$B$500,"November",PEMBAYARAN!$C$4:$C$500,"Minggu 3"),"")</f>
        <v>0</v>
      </c>
      <c r="F24" s="23">
        <f>IF(4&lt;=$D$2,SUMIFS(PEMBAYARAN!$E$4:$E$500,PEMBAYARAN!$A$4:$A$500,$B24,PEMBAYARAN!$B$4:$B$500,"November",PEMBAYARAN!$C$4:$C$500,"Minggu 4"),"")</f>
        <v>0</v>
      </c>
      <c r="G24" s="23" t="str">
        <f>IF(5&lt;=$D$2,SUMIFS(PEMBAYARAN!$E$4:$E$500,PEMBAYARAN!$A$4:$A$500,$B24,PEMBAYARAN!$B$4:$B$500,"November",PEMBAYARAN!$C$4:$C$500,"Minggu 5"),"")</f>
        <v/>
      </c>
      <c r="H24" s="23">
        <f t="shared" si="0"/>
        <v>20000</v>
      </c>
      <c r="I24" s="23">
        <f t="shared" si="1"/>
        <v>0</v>
      </c>
      <c r="J24" s="23">
        <f t="shared" si="2"/>
        <v>20000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-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IF(1&lt;=$D$2,SUMIFS(PEMBAYARAN!$E$4:$E$500,PEMBAYARAN!$A$4:$A$500,$B25,PEMBAYARAN!$B$4:$B$500,"November",PEMBAYARAN!$C$4:$C$500,"Minggu 1"),"")</f>
        <v>0</v>
      </c>
      <c r="D25" s="23">
        <f>IF(2&lt;=$D$2,SUMIFS(PEMBAYARAN!$E$4:$E$500,PEMBAYARAN!$A$4:$A$500,$B25,PEMBAYARAN!$B$4:$B$500,"November",PEMBAYARAN!$C$4:$C$500,"Minggu 2"),"")</f>
        <v>0</v>
      </c>
      <c r="E25" s="23">
        <f>IF(3&lt;=$D$2,SUMIFS(PEMBAYARAN!$E$4:$E$500,PEMBAYARAN!$A$4:$A$500,$B25,PEMBAYARAN!$B$4:$B$500,"November",PEMBAYARAN!$C$4:$C$500,"Minggu 3"),"")</f>
        <v>0</v>
      </c>
      <c r="F25" s="23">
        <f>IF(4&lt;=$D$2,SUMIFS(PEMBAYARAN!$E$4:$E$500,PEMBAYARAN!$A$4:$A$500,$B25,PEMBAYARAN!$B$4:$B$500,"November",PEMBAYARAN!$C$4:$C$500,"Minggu 4"),"")</f>
        <v>0</v>
      </c>
      <c r="G25" s="23" t="str">
        <f>IF(5&lt;=$D$2,SUMIFS(PEMBAYARAN!$E$4:$E$500,PEMBAYARAN!$A$4:$A$500,$B25,PEMBAYARAN!$B$4:$B$500,"November",PEMBAYARAN!$C$4:$C$500,"Minggu 5"),"")</f>
        <v/>
      </c>
      <c r="H25" s="23">
        <f t="shared" si="0"/>
        <v>20000</v>
      </c>
      <c r="I25" s="23">
        <f t="shared" si="1"/>
        <v>0</v>
      </c>
      <c r="J25" s="23">
        <f t="shared" si="2"/>
        <v>20000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-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IF(1&lt;=$D$2,SUMIFS(PEMBAYARAN!$E$4:$E$500,PEMBAYARAN!$A$4:$A$500,$B26,PEMBAYARAN!$B$4:$B$500,"November",PEMBAYARAN!$C$4:$C$500,"Minggu 1"),"")</f>
        <v>0</v>
      </c>
      <c r="D26" s="23">
        <f>IF(2&lt;=$D$2,SUMIFS(PEMBAYARAN!$E$4:$E$500,PEMBAYARAN!$A$4:$A$500,$B26,PEMBAYARAN!$B$4:$B$500,"November",PEMBAYARAN!$C$4:$C$500,"Minggu 2"),"")</f>
        <v>0</v>
      </c>
      <c r="E26" s="23">
        <f>IF(3&lt;=$D$2,SUMIFS(PEMBAYARAN!$E$4:$E$500,PEMBAYARAN!$A$4:$A$500,$B26,PEMBAYARAN!$B$4:$B$500,"November",PEMBAYARAN!$C$4:$C$500,"Minggu 3"),"")</f>
        <v>0</v>
      </c>
      <c r="F26" s="23">
        <f>IF(4&lt;=$D$2,SUMIFS(PEMBAYARAN!$E$4:$E$500,PEMBAYARAN!$A$4:$A$500,$B26,PEMBAYARAN!$B$4:$B$500,"November",PEMBAYARAN!$C$4:$C$500,"Minggu 4"),"")</f>
        <v>0</v>
      </c>
      <c r="G26" s="23" t="str">
        <f>IF(5&lt;=$D$2,SUMIFS(PEMBAYARAN!$E$4:$E$500,PEMBAYARAN!$A$4:$A$500,$B26,PEMBAYARAN!$B$4:$B$500,"November",PEMBAYARAN!$C$4:$C$500,"Minggu 5"),"")</f>
        <v/>
      </c>
      <c r="H26" s="23">
        <f t="shared" si="0"/>
        <v>20000</v>
      </c>
      <c r="I26" s="23">
        <f t="shared" si="1"/>
        <v>0</v>
      </c>
      <c r="J26" s="23">
        <f t="shared" si="2"/>
        <v>20000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-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IF(1&lt;=$D$2,SUMIFS(PEMBAYARAN!$E$4:$E$500,PEMBAYARAN!$A$4:$A$500,$B27,PEMBAYARAN!$B$4:$B$500,"November",PEMBAYARAN!$C$4:$C$500,"Minggu 1"),"")</f>
        <v>0</v>
      </c>
      <c r="D27" s="23">
        <f>IF(2&lt;=$D$2,SUMIFS(PEMBAYARAN!$E$4:$E$500,PEMBAYARAN!$A$4:$A$500,$B27,PEMBAYARAN!$B$4:$B$500,"November",PEMBAYARAN!$C$4:$C$500,"Minggu 2"),"")</f>
        <v>0</v>
      </c>
      <c r="E27" s="23">
        <f>IF(3&lt;=$D$2,SUMIFS(PEMBAYARAN!$E$4:$E$500,PEMBAYARAN!$A$4:$A$500,$B27,PEMBAYARAN!$B$4:$B$500,"November",PEMBAYARAN!$C$4:$C$500,"Minggu 3"),"")</f>
        <v>0</v>
      </c>
      <c r="F27" s="23">
        <f>IF(4&lt;=$D$2,SUMIFS(PEMBAYARAN!$E$4:$E$500,PEMBAYARAN!$A$4:$A$500,$B27,PEMBAYARAN!$B$4:$B$500,"November",PEMBAYARAN!$C$4:$C$500,"Minggu 4"),"")</f>
        <v>0</v>
      </c>
      <c r="G27" s="23" t="str">
        <f>IF(5&lt;=$D$2,SUMIFS(PEMBAYARAN!$E$4:$E$500,PEMBAYARAN!$A$4:$A$500,$B27,PEMBAYARAN!$B$4:$B$500,"November",PEMBAYARAN!$C$4:$C$500,"Minggu 5"),"")</f>
        <v/>
      </c>
      <c r="H27" s="23">
        <f t="shared" si="0"/>
        <v>20000</v>
      </c>
      <c r="I27" s="23">
        <f t="shared" si="1"/>
        <v>0</v>
      </c>
      <c r="J27" s="23">
        <f t="shared" si="2"/>
        <v>20000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-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IF(1&lt;=$D$2,SUMIFS(PEMBAYARAN!$E$4:$E$500,PEMBAYARAN!$A$4:$A$500,$B28,PEMBAYARAN!$B$4:$B$500,"November",PEMBAYARAN!$C$4:$C$500,"Minggu 1"),"")</f>
        <v>0</v>
      </c>
      <c r="D28" s="23">
        <f>IF(2&lt;=$D$2,SUMIFS(PEMBAYARAN!$E$4:$E$500,PEMBAYARAN!$A$4:$A$500,$B28,PEMBAYARAN!$B$4:$B$500,"November",PEMBAYARAN!$C$4:$C$500,"Minggu 2"),"")</f>
        <v>0</v>
      </c>
      <c r="E28" s="23">
        <f>IF(3&lt;=$D$2,SUMIFS(PEMBAYARAN!$E$4:$E$500,PEMBAYARAN!$A$4:$A$500,$B28,PEMBAYARAN!$B$4:$B$500,"November",PEMBAYARAN!$C$4:$C$500,"Minggu 3"),"")</f>
        <v>0</v>
      </c>
      <c r="F28" s="23">
        <f>IF(4&lt;=$D$2,SUMIFS(PEMBAYARAN!$E$4:$E$500,PEMBAYARAN!$A$4:$A$500,$B28,PEMBAYARAN!$B$4:$B$500,"November",PEMBAYARAN!$C$4:$C$500,"Minggu 4"),"")</f>
        <v>0</v>
      </c>
      <c r="G28" s="23" t="str">
        <f>IF(5&lt;=$D$2,SUMIFS(PEMBAYARAN!$E$4:$E$500,PEMBAYARAN!$A$4:$A$500,$B28,PEMBAYARAN!$B$4:$B$500,"November",PEMBAYARAN!$C$4:$C$500,"Minggu 5"),"")</f>
        <v/>
      </c>
      <c r="H28" s="23">
        <f t="shared" si="0"/>
        <v>20000</v>
      </c>
      <c r="I28" s="23">
        <f t="shared" si="1"/>
        <v>0</v>
      </c>
      <c r="J28" s="23">
        <f t="shared" si="2"/>
        <v>20000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-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IF(1&lt;=$D$2,SUMIFS(PEMBAYARAN!$E$4:$E$500,PEMBAYARAN!$A$4:$A$500,$B29,PEMBAYARAN!$B$4:$B$500,"November",PEMBAYARAN!$C$4:$C$500,"Minggu 1"),"")</f>
        <v>0</v>
      </c>
      <c r="D29" s="23">
        <f>IF(2&lt;=$D$2,SUMIFS(PEMBAYARAN!$E$4:$E$500,PEMBAYARAN!$A$4:$A$500,$B29,PEMBAYARAN!$B$4:$B$500,"November",PEMBAYARAN!$C$4:$C$500,"Minggu 2"),"")</f>
        <v>0</v>
      </c>
      <c r="E29" s="23">
        <f>IF(3&lt;=$D$2,SUMIFS(PEMBAYARAN!$E$4:$E$500,PEMBAYARAN!$A$4:$A$500,$B29,PEMBAYARAN!$B$4:$B$500,"November",PEMBAYARAN!$C$4:$C$500,"Minggu 3"),"")</f>
        <v>0</v>
      </c>
      <c r="F29" s="23">
        <f>IF(4&lt;=$D$2,SUMIFS(PEMBAYARAN!$E$4:$E$500,PEMBAYARAN!$A$4:$A$500,$B29,PEMBAYARAN!$B$4:$B$500,"November",PEMBAYARAN!$C$4:$C$500,"Minggu 4"),"")</f>
        <v>0</v>
      </c>
      <c r="G29" s="23" t="str">
        <f>IF(5&lt;=$D$2,SUMIFS(PEMBAYARAN!$E$4:$E$500,PEMBAYARAN!$A$4:$A$500,$B29,PEMBAYARAN!$B$4:$B$500,"November",PEMBAYARAN!$C$4:$C$500,"Minggu 5"),"")</f>
        <v/>
      </c>
      <c r="H29" s="23">
        <f t="shared" si="0"/>
        <v>20000</v>
      </c>
      <c r="I29" s="23">
        <f t="shared" si="1"/>
        <v>0</v>
      </c>
      <c r="J29" s="23">
        <f t="shared" si="2"/>
        <v>20000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-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IF(1&lt;=$D$2,SUMIFS(PEMBAYARAN!$E$4:$E$500,PEMBAYARAN!$A$4:$A$500,$B30,PEMBAYARAN!$B$4:$B$500,"November",PEMBAYARAN!$C$4:$C$500,"Minggu 1"),"")</f>
        <v>0</v>
      </c>
      <c r="D30" s="23">
        <f>IF(2&lt;=$D$2,SUMIFS(PEMBAYARAN!$E$4:$E$500,PEMBAYARAN!$A$4:$A$500,$B30,PEMBAYARAN!$B$4:$B$500,"November",PEMBAYARAN!$C$4:$C$500,"Minggu 2"),"")</f>
        <v>0</v>
      </c>
      <c r="E30" s="23">
        <f>IF(3&lt;=$D$2,SUMIFS(PEMBAYARAN!$E$4:$E$500,PEMBAYARAN!$A$4:$A$500,$B30,PEMBAYARAN!$B$4:$B$500,"November",PEMBAYARAN!$C$4:$C$500,"Minggu 3"),"")</f>
        <v>0</v>
      </c>
      <c r="F30" s="23">
        <f>IF(4&lt;=$D$2,SUMIFS(PEMBAYARAN!$E$4:$E$500,PEMBAYARAN!$A$4:$A$500,$B30,PEMBAYARAN!$B$4:$B$500,"November",PEMBAYARAN!$C$4:$C$500,"Minggu 4"),"")</f>
        <v>0</v>
      </c>
      <c r="G30" s="23" t="str">
        <f>IF(5&lt;=$D$2,SUMIFS(PEMBAYARAN!$E$4:$E$500,PEMBAYARAN!$A$4:$A$500,$B30,PEMBAYARAN!$B$4:$B$500,"November",PEMBAYARAN!$C$4:$C$500,"Minggu 5"),"")</f>
        <v/>
      </c>
      <c r="H30" s="23">
        <f t="shared" si="0"/>
        <v>20000</v>
      </c>
      <c r="I30" s="23">
        <f t="shared" si="1"/>
        <v>0</v>
      </c>
      <c r="J30" s="23">
        <f t="shared" si="2"/>
        <v>20000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-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IF(1&lt;=$D$2,SUMIFS(PEMBAYARAN!$E$4:$E$500,PEMBAYARAN!$A$4:$A$500,$B31,PEMBAYARAN!$B$4:$B$500,"November",PEMBAYARAN!$C$4:$C$500,"Minggu 1"),"")</f>
        <v>0</v>
      </c>
      <c r="D31" s="23">
        <f>IF(2&lt;=$D$2,SUMIFS(PEMBAYARAN!$E$4:$E$500,PEMBAYARAN!$A$4:$A$500,$B31,PEMBAYARAN!$B$4:$B$500,"November",PEMBAYARAN!$C$4:$C$500,"Minggu 2"),"")</f>
        <v>0</v>
      </c>
      <c r="E31" s="23">
        <f>IF(3&lt;=$D$2,SUMIFS(PEMBAYARAN!$E$4:$E$500,PEMBAYARAN!$A$4:$A$500,$B31,PEMBAYARAN!$B$4:$B$500,"November",PEMBAYARAN!$C$4:$C$500,"Minggu 3"),"")</f>
        <v>0</v>
      </c>
      <c r="F31" s="23">
        <f>IF(4&lt;=$D$2,SUMIFS(PEMBAYARAN!$E$4:$E$500,PEMBAYARAN!$A$4:$A$500,$B31,PEMBAYARAN!$B$4:$B$500,"November",PEMBAYARAN!$C$4:$C$500,"Minggu 4"),"")</f>
        <v>0</v>
      </c>
      <c r="G31" s="23" t="str">
        <f>IF(5&lt;=$D$2,SUMIFS(PEMBAYARAN!$E$4:$E$500,PEMBAYARAN!$A$4:$A$500,$B31,PEMBAYARAN!$B$4:$B$500,"November",PEMBAYARAN!$C$4:$C$500,"Minggu 5"),"")</f>
        <v/>
      </c>
      <c r="H31" s="23">
        <f t="shared" si="0"/>
        <v>20000</v>
      </c>
      <c r="I31" s="23">
        <f t="shared" si="1"/>
        <v>0</v>
      </c>
      <c r="J31" s="23">
        <f t="shared" si="2"/>
        <v>20000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-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IF(1&lt;=$D$2,SUMIFS(PEMBAYARAN!$E$4:$E$500,PEMBAYARAN!$A$4:$A$500,$B32,PEMBAYARAN!$B$4:$B$500,"November",PEMBAYARAN!$C$4:$C$500,"Minggu 1"),"")</f>
        <v>0</v>
      </c>
      <c r="D32" s="23">
        <f>IF(2&lt;=$D$2,SUMIFS(PEMBAYARAN!$E$4:$E$500,PEMBAYARAN!$A$4:$A$500,$B32,PEMBAYARAN!$B$4:$B$500,"November",PEMBAYARAN!$C$4:$C$500,"Minggu 2"),"")</f>
        <v>0</v>
      </c>
      <c r="E32" s="23">
        <f>IF(3&lt;=$D$2,SUMIFS(PEMBAYARAN!$E$4:$E$500,PEMBAYARAN!$A$4:$A$500,$B32,PEMBAYARAN!$B$4:$B$500,"November",PEMBAYARAN!$C$4:$C$500,"Minggu 3"),"")</f>
        <v>0</v>
      </c>
      <c r="F32" s="23">
        <f>IF(4&lt;=$D$2,SUMIFS(PEMBAYARAN!$E$4:$E$500,PEMBAYARAN!$A$4:$A$500,$B32,PEMBAYARAN!$B$4:$B$500,"November",PEMBAYARAN!$C$4:$C$500,"Minggu 4"),"")</f>
        <v>0</v>
      </c>
      <c r="G32" s="23" t="str">
        <f>IF(5&lt;=$D$2,SUMIFS(PEMBAYARAN!$E$4:$E$500,PEMBAYARAN!$A$4:$A$500,$B32,PEMBAYARAN!$B$4:$B$500,"November",PEMBAYARAN!$C$4:$C$500,"Minggu 5"),"")</f>
        <v/>
      </c>
      <c r="H32" s="23">
        <f t="shared" si="0"/>
        <v>20000</v>
      </c>
      <c r="I32" s="23">
        <f t="shared" si="1"/>
        <v>0</v>
      </c>
      <c r="J32" s="23">
        <f t="shared" si="2"/>
        <v>20000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-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IF(1&lt;=$D$2,SUMIFS(PEMBAYARAN!$E$4:$E$500,PEMBAYARAN!$A$4:$A$500,$B33,PEMBAYARAN!$B$4:$B$500,"November",PEMBAYARAN!$C$4:$C$500,"Minggu 1"),"")</f>
        <v>0</v>
      </c>
      <c r="D33" s="23">
        <f>IF(2&lt;=$D$2,SUMIFS(PEMBAYARAN!$E$4:$E$500,PEMBAYARAN!$A$4:$A$500,$B33,PEMBAYARAN!$B$4:$B$500,"November",PEMBAYARAN!$C$4:$C$500,"Minggu 2"),"")</f>
        <v>0</v>
      </c>
      <c r="E33" s="23">
        <f>IF(3&lt;=$D$2,SUMIFS(PEMBAYARAN!$E$4:$E$500,PEMBAYARAN!$A$4:$A$500,$B33,PEMBAYARAN!$B$4:$B$500,"November",PEMBAYARAN!$C$4:$C$500,"Minggu 3"),"")</f>
        <v>0</v>
      </c>
      <c r="F33" s="23">
        <f>IF(4&lt;=$D$2,SUMIFS(PEMBAYARAN!$E$4:$E$500,PEMBAYARAN!$A$4:$A$500,$B33,PEMBAYARAN!$B$4:$B$500,"November",PEMBAYARAN!$C$4:$C$500,"Minggu 4"),"")</f>
        <v>0</v>
      </c>
      <c r="G33" s="23" t="str">
        <f>IF(5&lt;=$D$2,SUMIFS(PEMBAYARAN!$E$4:$E$500,PEMBAYARAN!$A$4:$A$500,$B33,PEMBAYARAN!$B$4:$B$500,"November",PEMBAYARAN!$C$4:$C$500,"Minggu 5"),"")</f>
        <v/>
      </c>
      <c r="H33" s="23">
        <f t="shared" si="0"/>
        <v>20000</v>
      </c>
      <c r="I33" s="23">
        <f t="shared" si="1"/>
        <v>0</v>
      </c>
      <c r="J33" s="23">
        <f t="shared" si="2"/>
        <v>20000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-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IF(1&lt;=$D$2,SUMIFS(PEMBAYARAN!$E$4:$E$500,PEMBAYARAN!$A$4:$A$500,$B34,PEMBAYARAN!$B$4:$B$500,"November",PEMBAYARAN!$C$4:$C$500,"Minggu 1"),"")</f>
        <v>0</v>
      </c>
      <c r="D34" s="23">
        <f>IF(2&lt;=$D$2,SUMIFS(PEMBAYARAN!$E$4:$E$500,PEMBAYARAN!$A$4:$A$500,$B34,PEMBAYARAN!$B$4:$B$500,"November",PEMBAYARAN!$C$4:$C$500,"Minggu 2"),"")</f>
        <v>0</v>
      </c>
      <c r="E34" s="23">
        <f>IF(3&lt;=$D$2,SUMIFS(PEMBAYARAN!$E$4:$E$500,PEMBAYARAN!$A$4:$A$500,$B34,PEMBAYARAN!$B$4:$B$500,"November",PEMBAYARAN!$C$4:$C$500,"Minggu 3"),"")</f>
        <v>0</v>
      </c>
      <c r="F34" s="23">
        <f>IF(4&lt;=$D$2,SUMIFS(PEMBAYARAN!$E$4:$E$500,PEMBAYARAN!$A$4:$A$500,$B34,PEMBAYARAN!$B$4:$B$500,"November",PEMBAYARAN!$C$4:$C$500,"Minggu 4"),"")</f>
        <v>0</v>
      </c>
      <c r="G34" s="23" t="str">
        <f>IF(5&lt;=$D$2,SUMIFS(PEMBAYARAN!$E$4:$E$500,PEMBAYARAN!$A$4:$A$500,$B34,PEMBAYARAN!$B$4:$B$500,"November",PEMBAYARAN!$C$4:$C$500,"Minggu 5"),"")</f>
        <v/>
      </c>
      <c r="H34" s="23">
        <f t="shared" si="0"/>
        <v>20000</v>
      </c>
      <c r="I34" s="23">
        <f t="shared" si="1"/>
        <v>0</v>
      </c>
      <c r="J34" s="23">
        <f t="shared" si="2"/>
        <v>20000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-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IF(1&lt;=$D$2,SUMIFS(PEMBAYARAN!$E$4:$E$500,PEMBAYARAN!$A$4:$A$500,$B35,PEMBAYARAN!$B$4:$B$500,"November",PEMBAYARAN!$C$4:$C$500,"Minggu 1"),"")</f>
        <v>0</v>
      </c>
      <c r="D35" s="23">
        <f>IF(2&lt;=$D$2,SUMIFS(PEMBAYARAN!$E$4:$E$500,PEMBAYARAN!$A$4:$A$500,$B35,PEMBAYARAN!$B$4:$B$500,"November",PEMBAYARAN!$C$4:$C$500,"Minggu 2"),"")</f>
        <v>0</v>
      </c>
      <c r="E35" s="23">
        <f>IF(3&lt;=$D$2,SUMIFS(PEMBAYARAN!$E$4:$E$500,PEMBAYARAN!$A$4:$A$500,$B35,PEMBAYARAN!$B$4:$B$500,"November",PEMBAYARAN!$C$4:$C$500,"Minggu 3"),"")</f>
        <v>0</v>
      </c>
      <c r="F35" s="23">
        <f>IF(4&lt;=$D$2,SUMIFS(PEMBAYARAN!$E$4:$E$500,PEMBAYARAN!$A$4:$A$500,$B35,PEMBAYARAN!$B$4:$B$500,"November",PEMBAYARAN!$C$4:$C$500,"Minggu 4"),"")</f>
        <v>0</v>
      </c>
      <c r="G35" s="23" t="str">
        <f>IF(5&lt;=$D$2,SUMIFS(PEMBAYARAN!$E$4:$E$500,PEMBAYARAN!$A$4:$A$500,$B35,PEMBAYARAN!$B$4:$B$500,"November",PEMBAYARAN!$C$4:$C$500,"Minggu 5"),"")</f>
        <v/>
      </c>
      <c r="H35" s="23">
        <f t="shared" si="0"/>
        <v>20000</v>
      </c>
      <c r="I35" s="23">
        <f t="shared" si="1"/>
        <v>0</v>
      </c>
      <c r="J35" s="23">
        <f t="shared" si="2"/>
        <v>20000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-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IF(1&lt;=$D$2,SUMIFS(PEMBAYARAN!$E$4:$E$500,PEMBAYARAN!$A$4:$A$500,$B36,PEMBAYARAN!$B$4:$B$500,"November",PEMBAYARAN!$C$4:$C$500,"Minggu 1"),"")</f>
        <v>0</v>
      </c>
      <c r="D36" s="23">
        <f>IF(2&lt;=$D$2,SUMIFS(PEMBAYARAN!$E$4:$E$500,PEMBAYARAN!$A$4:$A$500,$B36,PEMBAYARAN!$B$4:$B$500,"November",PEMBAYARAN!$C$4:$C$500,"Minggu 2"),"")</f>
        <v>0</v>
      </c>
      <c r="E36" s="23">
        <f>IF(3&lt;=$D$2,SUMIFS(PEMBAYARAN!$E$4:$E$500,PEMBAYARAN!$A$4:$A$500,$B36,PEMBAYARAN!$B$4:$B$500,"November",PEMBAYARAN!$C$4:$C$500,"Minggu 3"),"")</f>
        <v>0</v>
      </c>
      <c r="F36" s="23">
        <f>IF(4&lt;=$D$2,SUMIFS(PEMBAYARAN!$E$4:$E$500,PEMBAYARAN!$A$4:$A$500,$B36,PEMBAYARAN!$B$4:$B$500,"November",PEMBAYARAN!$C$4:$C$500,"Minggu 4"),"")</f>
        <v>0</v>
      </c>
      <c r="G36" s="23" t="str">
        <f>IF(5&lt;=$D$2,SUMIFS(PEMBAYARAN!$E$4:$E$500,PEMBAYARAN!$A$4:$A$500,$B36,PEMBAYARAN!$B$4:$B$500,"November",PEMBAYARAN!$C$4:$C$500,"Minggu 5"),"")</f>
        <v/>
      </c>
      <c r="H36" s="23">
        <f t="shared" si="0"/>
        <v>20000</v>
      </c>
      <c r="I36" s="23">
        <f t="shared" si="1"/>
        <v>0</v>
      </c>
      <c r="J36" s="23">
        <f t="shared" si="2"/>
        <v>20000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-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IF(1&lt;=$D$2,SUMIFS(PEMBAYARAN!$E$4:$E$500,PEMBAYARAN!$A$4:$A$500,$B37,PEMBAYARAN!$B$4:$B$500,"November",PEMBAYARAN!$C$4:$C$500,"Minggu 1"),"")</f>
        <v>0</v>
      </c>
      <c r="D37" s="23">
        <f>IF(2&lt;=$D$2,SUMIFS(PEMBAYARAN!$E$4:$E$500,PEMBAYARAN!$A$4:$A$500,$B37,PEMBAYARAN!$B$4:$B$500,"November",PEMBAYARAN!$C$4:$C$500,"Minggu 2"),"")</f>
        <v>0</v>
      </c>
      <c r="E37" s="23">
        <f>IF(3&lt;=$D$2,SUMIFS(PEMBAYARAN!$E$4:$E$500,PEMBAYARAN!$A$4:$A$500,$B37,PEMBAYARAN!$B$4:$B$500,"November",PEMBAYARAN!$C$4:$C$500,"Minggu 3"),"")</f>
        <v>0</v>
      </c>
      <c r="F37" s="23">
        <f>IF(4&lt;=$D$2,SUMIFS(PEMBAYARAN!$E$4:$E$500,PEMBAYARAN!$A$4:$A$500,$B37,PEMBAYARAN!$B$4:$B$500,"November",PEMBAYARAN!$C$4:$C$500,"Minggu 4"),"")</f>
        <v>0</v>
      </c>
      <c r="G37" s="23" t="str">
        <f>IF(5&lt;=$D$2,SUMIFS(PEMBAYARAN!$E$4:$E$500,PEMBAYARAN!$A$4:$A$500,$B37,PEMBAYARAN!$B$4:$B$500,"November",PEMBAYARAN!$C$4:$C$500,"Minggu 5"),"")</f>
        <v/>
      </c>
      <c r="H37" s="23">
        <f t="shared" si="0"/>
        <v>20000</v>
      </c>
      <c r="I37" s="23">
        <f t="shared" si="1"/>
        <v>0</v>
      </c>
      <c r="J37" s="23">
        <f t="shared" si="2"/>
        <v>20000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-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IF(1&lt;=$D$2,SUMIFS(PEMBAYARAN!$E$4:$E$500,PEMBAYARAN!$A$4:$A$500,$B38,PEMBAYARAN!$B$4:$B$500,"November",PEMBAYARAN!$C$4:$C$500,"Minggu 1"),"")</f>
        <v>0</v>
      </c>
      <c r="D38" s="23">
        <f>IF(2&lt;=$D$2,SUMIFS(PEMBAYARAN!$E$4:$E$500,PEMBAYARAN!$A$4:$A$500,$B38,PEMBAYARAN!$B$4:$B$500,"November",PEMBAYARAN!$C$4:$C$500,"Minggu 2"),"")</f>
        <v>0</v>
      </c>
      <c r="E38" s="23">
        <f>IF(3&lt;=$D$2,SUMIFS(PEMBAYARAN!$E$4:$E$500,PEMBAYARAN!$A$4:$A$500,$B38,PEMBAYARAN!$B$4:$B$500,"November",PEMBAYARAN!$C$4:$C$500,"Minggu 3"),"")</f>
        <v>0</v>
      </c>
      <c r="F38" s="23">
        <f>IF(4&lt;=$D$2,SUMIFS(PEMBAYARAN!$E$4:$E$500,PEMBAYARAN!$A$4:$A$500,$B38,PEMBAYARAN!$B$4:$B$500,"November",PEMBAYARAN!$C$4:$C$500,"Minggu 4"),"")</f>
        <v>0</v>
      </c>
      <c r="G38" s="23" t="str">
        <f>IF(5&lt;=$D$2,SUMIFS(PEMBAYARAN!$E$4:$E$500,PEMBAYARAN!$A$4:$A$500,$B38,PEMBAYARAN!$B$4:$B$500,"November",PEMBAYARAN!$C$4:$C$500,"Minggu 5"),"")</f>
        <v/>
      </c>
      <c r="H38" s="23">
        <f t="shared" si="0"/>
        <v>20000</v>
      </c>
      <c r="I38" s="23">
        <f t="shared" si="1"/>
        <v>0</v>
      </c>
      <c r="J38" s="23">
        <f t="shared" si="2"/>
        <v>20000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-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IF(1&lt;=$D$2,SUMIFS(PEMBAYARAN!$E$4:$E$500,PEMBAYARAN!$A$4:$A$500,$B39,PEMBAYARAN!$B$4:$B$500,"November",PEMBAYARAN!$C$4:$C$500,"Minggu 1"),"")</f>
        <v>0</v>
      </c>
      <c r="D39" s="23">
        <f>IF(2&lt;=$D$2,SUMIFS(PEMBAYARAN!$E$4:$E$500,PEMBAYARAN!$A$4:$A$500,$B39,PEMBAYARAN!$B$4:$B$500,"November",PEMBAYARAN!$C$4:$C$500,"Minggu 2"),"")</f>
        <v>0</v>
      </c>
      <c r="E39" s="23">
        <f>IF(3&lt;=$D$2,SUMIFS(PEMBAYARAN!$E$4:$E$500,PEMBAYARAN!$A$4:$A$500,$B39,PEMBAYARAN!$B$4:$B$500,"November",PEMBAYARAN!$C$4:$C$500,"Minggu 3"),"")</f>
        <v>0</v>
      </c>
      <c r="F39" s="23">
        <f>IF(4&lt;=$D$2,SUMIFS(PEMBAYARAN!$E$4:$E$500,PEMBAYARAN!$A$4:$A$500,$B39,PEMBAYARAN!$B$4:$B$500,"November",PEMBAYARAN!$C$4:$C$500,"Minggu 4"),"")</f>
        <v>0</v>
      </c>
      <c r="G39" s="23" t="str">
        <f>IF(5&lt;=$D$2,SUMIFS(PEMBAYARAN!$E$4:$E$500,PEMBAYARAN!$A$4:$A$500,$B39,PEMBAYARAN!$B$4:$B$500,"November",PEMBAYARAN!$C$4:$C$500,"Minggu 5"),"")</f>
        <v/>
      </c>
      <c r="H39" s="23">
        <f t="shared" si="0"/>
        <v>20000</v>
      </c>
      <c r="I39" s="23">
        <f t="shared" si="1"/>
        <v>0</v>
      </c>
      <c r="J39" s="23">
        <f t="shared" si="2"/>
        <v>20000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-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IF(1&lt;=$D$2,SUMIFS(PEMBAYARAN!$E$4:$E$500,PEMBAYARAN!$A$4:$A$500,$B40,PEMBAYARAN!$B$4:$B$500,"November",PEMBAYARAN!$C$4:$C$500,"Minggu 1"),"")</f>
        <v>0</v>
      </c>
      <c r="D40" s="23">
        <f>IF(2&lt;=$D$2,SUMIFS(PEMBAYARAN!$E$4:$E$500,PEMBAYARAN!$A$4:$A$500,$B40,PEMBAYARAN!$B$4:$B$500,"November",PEMBAYARAN!$C$4:$C$500,"Minggu 2"),"")</f>
        <v>0</v>
      </c>
      <c r="E40" s="23">
        <f>IF(3&lt;=$D$2,SUMIFS(PEMBAYARAN!$E$4:$E$500,PEMBAYARAN!$A$4:$A$500,$B40,PEMBAYARAN!$B$4:$B$500,"November",PEMBAYARAN!$C$4:$C$500,"Minggu 3"),"")</f>
        <v>0</v>
      </c>
      <c r="F40" s="23">
        <f>IF(4&lt;=$D$2,SUMIFS(PEMBAYARAN!$E$4:$E$500,PEMBAYARAN!$A$4:$A$500,$B40,PEMBAYARAN!$B$4:$B$500,"November",PEMBAYARAN!$C$4:$C$500,"Minggu 4"),"")</f>
        <v>0</v>
      </c>
      <c r="G40" s="23" t="str">
        <f>IF(5&lt;=$D$2,SUMIFS(PEMBAYARAN!$E$4:$E$500,PEMBAYARAN!$A$4:$A$500,$B40,PEMBAYARAN!$B$4:$B$500,"November",PEMBAYARAN!$C$4:$C$500,"Minggu 5"),"")</f>
        <v/>
      </c>
      <c r="H40" s="23">
        <f t="shared" si="0"/>
        <v>20000</v>
      </c>
      <c r="I40" s="23">
        <f t="shared" si="1"/>
        <v>0</v>
      </c>
      <c r="J40" s="23">
        <f t="shared" si="2"/>
        <v>20000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-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IF(1&lt;=$D$2,SUMIFS(PEMBAYARAN!$E$4:$E$500,PEMBAYARAN!$A$4:$A$500,$B41,PEMBAYARAN!$B$4:$B$500,"November",PEMBAYARAN!$C$4:$C$500,"Minggu 1"),"")</f>
        <v>0</v>
      </c>
      <c r="D41" s="23">
        <f>IF(2&lt;=$D$2,SUMIFS(PEMBAYARAN!$E$4:$E$500,PEMBAYARAN!$A$4:$A$500,$B41,PEMBAYARAN!$B$4:$B$500,"November",PEMBAYARAN!$C$4:$C$500,"Minggu 2"),"")</f>
        <v>0</v>
      </c>
      <c r="E41" s="23">
        <f>IF(3&lt;=$D$2,SUMIFS(PEMBAYARAN!$E$4:$E$500,PEMBAYARAN!$A$4:$A$500,$B41,PEMBAYARAN!$B$4:$B$500,"November",PEMBAYARAN!$C$4:$C$500,"Minggu 3"),"")</f>
        <v>0</v>
      </c>
      <c r="F41" s="23">
        <f>IF(4&lt;=$D$2,SUMIFS(PEMBAYARAN!$E$4:$E$500,PEMBAYARAN!$A$4:$A$500,$B41,PEMBAYARAN!$B$4:$B$500,"November",PEMBAYARAN!$C$4:$C$500,"Minggu 4"),"")</f>
        <v>0</v>
      </c>
      <c r="G41" s="23" t="str">
        <f>IF(5&lt;=$D$2,SUMIFS(PEMBAYARAN!$E$4:$E$500,PEMBAYARAN!$A$4:$A$500,$B41,PEMBAYARAN!$B$4:$B$500,"November",PEMBAYARAN!$C$4:$C$500,"Minggu 5"),"")</f>
        <v/>
      </c>
      <c r="H41" s="23">
        <f t="shared" si="0"/>
        <v>20000</v>
      </c>
      <c r="I41" s="23">
        <f t="shared" si="1"/>
        <v>0</v>
      </c>
      <c r="J41" s="23">
        <f t="shared" si="2"/>
        <v>20000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-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IF(1&lt;=$D$2,SUMIFS(PEMBAYARAN!$E$4:$E$500,PEMBAYARAN!$A$4:$A$500,$B42,PEMBAYARAN!$B$4:$B$500,"November",PEMBAYARAN!$C$4:$C$500,"Minggu 1"),"")</f>
        <v>0</v>
      </c>
      <c r="D42" s="23">
        <f>IF(2&lt;=$D$2,SUMIFS(PEMBAYARAN!$E$4:$E$500,PEMBAYARAN!$A$4:$A$500,$B42,PEMBAYARAN!$B$4:$B$500,"November",PEMBAYARAN!$C$4:$C$500,"Minggu 2"),"")</f>
        <v>0</v>
      </c>
      <c r="E42" s="23">
        <f>IF(3&lt;=$D$2,SUMIFS(PEMBAYARAN!$E$4:$E$500,PEMBAYARAN!$A$4:$A$500,$B42,PEMBAYARAN!$B$4:$B$500,"November",PEMBAYARAN!$C$4:$C$500,"Minggu 3"),"")</f>
        <v>0</v>
      </c>
      <c r="F42" s="23">
        <f>IF(4&lt;=$D$2,SUMIFS(PEMBAYARAN!$E$4:$E$500,PEMBAYARAN!$A$4:$A$500,$B42,PEMBAYARAN!$B$4:$B$500,"November",PEMBAYARAN!$C$4:$C$500,"Minggu 4"),"")</f>
        <v>0</v>
      </c>
      <c r="G42" s="23" t="str">
        <f>IF(5&lt;=$D$2,SUMIFS(PEMBAYARAN!$E$4:$E$500,PEMBAYARAN!$A$4:$A$500,$B42,PEMBAYARAN!$B$4:$B$500,"November",PEMBAYARAN!$C$4:$C$500,"Minggu 5"),"")</f>
        <v/>
      </c>
      <c r="H42" s="23">
        <f t="shared" si="0"/>
        <v>20000</v>
      </c>
      <c r="I42" s="23">
        <f t="shared" si="1"/>
        <v>0</v>
      </c>
      <c r="J42" s="23">
        <f t="shared" si="2"/>
        <v>20000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-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IF(1&lt;=$D$2,SUMIFS(PEMBAYARAN!$E$4:$E$500,PEMBAYARAN!$A$4:$A$500,$B43,PEMBAYARAN!$B$4:$B$500,"November",PEMBAYARAN!$C$4:$C$500,"Minggu 1"),"")</f>
        <v>0</v>
      </c>
      <c r="D43" s="23">
        <f>IF(2&lt;=$D$2,SUMIFS(PEMBAYARAN!$E$4:$E$500,PEMBAYARAN!$A$4:$A$500,$B43,PEMBAYARAN!$B$4:$B$500,"November",PEMBAYARAN!$C$4:$C$500,"Minggu 2"),"")</f>
        <v>0</v>
      </c>
      <c r="E43" s="23">
        <f>IF(3&lt;=$D$2,SUMIFS(PEMBAYARAN!$E$4:$E$500,PEMBAYARAN!$A$4:$A$500,$B43,PEMBAYARAN!$B$4:$B$500,"November",PEMBAYARAN!$C$4:$C$500,"Minggu 3"),"")</f>
        <v>0</v>
      </c>
      <c r="F43" s="23">
        <f>IF(4&lt;=$D$2,SUMIFS(PEMBAYARAN!$E$4:$E$500,PEMBAYARAN!$A$4:$A$500,$B43,PEMBAYARAN!$B$4:$B$500,"November",PEMBAYARAN!$C$4:$C$500,"Minggu 4"),"")</f>
        <v>0</v>
      </c>
      <c r="G43" s="23" t="str">
        <f>IF(5&lt;=$D$2,SUMIFS(PEMBAYARAN!$E$4:$E$500,PEMBAYARAN!$A$4:$A$500,$B43,PEMBAYARAN!$B$4:$B$500,"November",PEMBAYARAN!$C$4:$C$500,"Minggu 5"),"")</f>
        <v/>
      </c>
      <c r="H43" s="23">
        <f t="shared" si="0"/>
        <v>20000</v>
      </c>
      <c r="I43" s="23">
        <f t="shared" si="1"/>
        <v>0</v>
      </c>
      <c r="J43" s="23">
        <f t="shared" si="2"/>
        <v>20000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-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IF(1&lt;=$D$2,SUMIFS(PEMBAYARAN!$E$4:$E$500,PEMBAYARAN!$A$4:$A$500,$B44,PEMBAYARAN!$B$4:$B$500,"November",PEMBAYARAN!$C$4:$C$500,"Minggu 1"),"")</f>
        <v>0</v>
      </c>
      <c r="D44" s="23">
        <f>IF(2&lt;=$D$2,SUMIFS(PEMBAYARAN!$E$4:$E$500,PEMBAYARAN!$A$4:$A$500,$B44,PEMBAYARAN!$B$4:$B$500,"November",PEMBAYARAN!$C$4:$C$500,"Minggu 2"),"")</f>
        <v>0</v>
      </c>
      <c r="E44" s="23">
        <f>IF(3&lt;=$D$2,SUMIFS(PEMBAYARAN!$E$4:$E$500,PEMBAYARAN!$A$4:$A$500,$B44,PEMBAYARAN!$B$4:$B$500,"November",PEMBAYARAN!$C$4:$C$500,"Minggu 3"),"")</f>
        <v>0</v>
      </c>
      <c r="F44" s="23">
        <f>IF(4&lt;=$D$2,SUMIFS(PEMBAYARAN!$E$4:$E$500,PEMBAYARAN!$A$4:$A$500,$B44,PEMBAYARAN!$B$4:$B$500,"November",PEMBAYARAN!$C$4:$C$500,"Minggu 4"),"")</f>
        <v>0</v>
      </c>
      <c r="G44" s="23" t="str">
        <f>IF(5&lt;=$D$2,SUMIFS(PEMBAYARAN!$E$4:$E$500,PEMBAYARAN!$A$4:$A$500,$B44,PEMBAYARAN!$B$4:$B$500,"November",PEMBAYARAN!$C$4:$C$500,"Minggu 5"),"")</f>
        <v/>
      </c>
      <c r="H44" s="23">
        <f t="shared" si="0"/>
        <v>20000</v>
      </c>
      <c r="I44" s="23">
        <f t="shared" si="1"/>
        <v>0</v>
      </c>
      <c r="J44" s="23">
        <f t="shared" si="2"/>
        <v>20000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-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IF(1&lt;=$D$2,SUMIFS(PEMBAYARAN!$E$4:$E$500,PEMBAYARAN!$A$4:$A$500,$B45,PEMBAYARAN!$B$4:$B$500,"November",PEMBAYARAN!$C$4:$C$500,"Minggu 1"),"")</f>
        <v>0</v>
      </c>
      <c r="D45" s="23">
        <f>IF(2&lt;=$D$2,SUMIFS(PEMBAYARAN!$E$4:$E$500,PEMBAYARAN!$A$4:$A$500,$B45,PEMBAYARAN!$B$4:$B$500,"November",PEMBAYARAN!$C$4:$C$500,"Minggu 2"),"")</f>
        <v>0</v>
      </c>
      <c r="E45" s="23">
        <f>IF(3&lt;=$D$2,SUMIFS(PEMBAYARAN!$E$4:$E$500,PEMBAYARAN!$A$4:$A$500,$B45,PEMBAYARAN!$B$4:$B$500,"November",PEMBAYARAN!$C$4:$C$500,"Minggu 3"),"")</f>
        <v>0</v>
      </c>
      <c r="F45" s="23">
        <f>IF(4&lt;=$D$2,SUMIFS(PEMBAYARAN!$E$4:$E$500,PEMBAYARAN!$A$4:$A$500,$B45,PEMBAYARAN!$B$4:$B$500,"November",PEMBAYARAN!$C$4:$C$500,"Minggu 4"),"")</f>
        <v>0</v>
      </c>
      <c r="G45" s="23" t="str">
        <f>IF(5&lt;=$D$2,SUMIFS(PEMBAYARAN!$E$4:$E$500,PEMBAYARAN!$A$4:$A$500,$B45,PEMBAYARAN!$B$4:$B$500,"November",PEMBAYARAN!$C$4:$C$500,"Minggu 5"),"")</f>
        <v/>
      </c>
      <c r="H45" s="23">
        <f t="shared" si="0"/>
        <v>20000</v>
      </c>
      <c r="I45" s="23">
        <f t="shared" si="1"/>
        <v>0</v>
      </c>
      <c r="J45" s="23">
        <f t="shared" si="2"/>
        <v>20000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-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820000</v>
      </c>
      <c r="I47" s="31">
        <f>SUM(I5:I45)</f>
        <v>0</v>
      </c>
      <c r="J47" s="31">
        <f>SUM(J5:J45)</f>
        <v>820000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7000000}"/>
  <mergeCells count="2">
    <mergeCell ref="A1:L1"/>
    <mergeCell ref="A2:C2"/>
  </mergeCells>
  <conditionalFormatting sqref="L5:L45">
    <cfRule type="expression" dxfId="26" priority="2">
      <formula>LEFT(L5,5)="LUNAS"</formula>
    </cfRule>
    <cfRule type="cellIs" dxfId="25" priority="3" operator="equal">
      <formula>"CICILAN"</formula>
    </cfRule>
    <cfRule type="cellIs" dxfId="24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4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IF(1&lt;=$D$2,SUMIFS(PEMBAYARAN!$E$4:$E$500,PEMBAYARAN!$A$4:$A$500,$B5,PEMBAYARAN!$B$4:$B$500,"Desember",PEMBAYARAN!$C$4:$C$500,"Minggu 1"),"")</f>
        <v>0</v>
      </c>
      <c r="D5" s="23">
        <f>IF(2&lt;=$D$2,SUMIFS(PEMBAYARAN!$E$4:$E$500,PEMBAYARAN!$A$4:$A$500,$B5,PEMBAYARAN!$B$4:$B$500,"Desember",PEMBAYARAN!$C$4:$C$500,"Minggu 2"),"")</f>
        <v>0</v>
      </c>
      <c r="E5" s="23">
        <f>IF(3&lt;=$D$2,SUMIFS(PEMBAYARAN!$E$4:$E$500,PEMBAYARAN!$A$4:$A$500,$B5,PEMBAYARAN!$B$4:$B$500,"Desember",PEMBAYARAN!$C$4:$C$500,"Minggu 3"),"")</f>
        <v>0</v>
      </c>
      <c r="F5" s="23">
        <f>IF(4&lt;=$D$2,SUMIFS(PEMBAYARAN!$E$4:$E$500,PEMBAYARAN!$A$4:$A$500,$B5,PEMBAYARAN!$B$4:$B$500,"Desember",PEMBAYARAN!$C$4:$C$500,"Minggu 4"),"")</f>
        <v>0</v>
      </c>
      <c r="G5" s="23" t="str">
        <f>IF(5&lt;=$D$2,SUMIFS(PEMBAYARAN!$E$4:$E$500,PEMBAYARAN!$A$4:$A$500,$B5,PEMBAYARAN!$B$4:$B$500,"Desember",PEMBAYARAN!$C$4:$C$500,"Minggu 5"),"")</f>
        <v/>
      </c>
      <c r="H5" s="23">
        <f t="shared" ref="H5:H45" si="0">MIN($D$2,5)*$F$2</f>
        <v>20000</v>
      </c>
      <c r="I5" s="23">
        <f t="shared" ref="I5:I45" si="1">SUM(C5:G5)</f>
        <v>0</v>
      </c>
      <c r="J5" s="23">
        <f t="shared" ref="J5:J45" si="2">MAX(H5-I5,0)</f>
        <v>20000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-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IF(1&lt;=$D$2,SUMIFS(PEMBAYARAN!$E$4:$E$500,PEMBAYARAN!$A$4:$A$500,$B6,PEMBAYARAN!$B$4:$B$500,"Desember",PEMBAYARAN!$C$4:$C$500,"Minggu 1"),"")</f>
        <v>0</v>
      </c>
      <c r="D6" s="23">
        <f>IF(2&lt;=$D$2,SUMIFS(PEMBAYARAN!$E$4:$E$500,PEMBAYARAN!$A$4:$A$500,$B6,PEMBAYARAN!$B$4:$B$500,"Desember",PEMBAYARAN!$C$4:$C$500,"Minggu 2"),"")</f>
        <v>0</v>
      </c>
      <c r="E6" s="23">
        <f>IF(3&lt;=$D$2,SUMIFS(PEMBAYARAN!$E$4:$E$500,PEMBAYARAN!$A$4:$A$500,$B6,PEMBAYARAN!$B$4:$B$500,"Desember",PEMBAYARAN!$C$4:$C$500,"Minggu 3"),"")</f>
        <v>0</v>
      </c>
      <c r="F6" s="23">
        <f>IF(4&lt;=$D$2,SUMIFS(PEMBAYARAN!$E$4:$E$500,PEMBAYARAN!$A$4:$A$500,$B6,PEMBAYARAN!$B$4:$B$500,"Desember",PEMBAYARAN!$C$4:$C$500,"Minggu 4"),"")</f>
        <v>0</v>
      </c>
      <c r="G6" s="23" t="str">
        <f>IF(5&lt;=$D$2,SUMIFS(PEMBAYARAN!$E$4:$E$500,PEMBAYARAN!$A$4:$A$500,$B6,PEMBAYARAN!$B$4:$B$500,"Desember",PEMBAYARAN!$C$4:$C$500,"Minggu 5"),"")</f>
        <v/>
      </c>
      <c r="H6" s="23">
        <f t="shared" si="0"/>
        <v>20000</v>
      </c>
      <c r="I6" s="23">
        <f t="shared" si="1"/>
        <v>0</v>
      </c>
      <c r="J6" s="23">
        <f t="shared" si="2"/>
        <v>20000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-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IF(1&lt;=$D$2,SUMIFS(PEMBAYARAN!$E$4:$E$500,PEMBAYARAN!$A$4:$A$500,$B7,PEMBAYARAN!$B$4:$B$500,"Desember",PEMBAYARAN!$C$4:$C$500,"Minggu 1"),"")</f>
        <v>0</v>
      </c>
      <c r="D7" s="23">
        <f>IF(2&lt;=$D$2,SUMIFS(PEMBAYARAN!$E$4:$E$500,PEMBAYARAN!$A$4:$A$500,$B7,PEMBAYARAN!$B$4:$B$500,"Desember",PEMBAYARAN!$C$4:$C$500,"Minggu 2"),"")</f>
        <v>0</v>
      </c>
      <c r="E7" s="23">
        <f>IF(3&lt;=$D$2,SUMIFS(PEMBAYARAN!$E$4:$E$500,PEMBAYARAN!$A$4:$A$500,$B7,PEMBAYARAN!$B$4:$B$500,"Desember",PEMBAYARAN!$C$4:$C$500,"Minggu 3"),"")</f>
        <v>0</v>
      </c>
      <c r="F7" s="23">
        <f>IF(4&lt;=$D$2,SUMIFS(PEMBAYARAN!$E$4:$E$500,PEMBAYARAN!$A$4:$A$500,$B7,PEMBAYARAN!$B$4:$B$500,"Desember",PEMBAYARAN!$C$4:$C$500,"Minggu 4"),"")</f>
        <v>0</v>
      </c>
      <c r="G7" s="23" t="str">
        <f>IF(5&lt;=$D$2,SUMIFS(PEMBAYARAN!$E$4:$E$500,PEMBAYARAN!$A$4:$A$500,$B7,PEMBAYARAN!$B$4:$B$500,"Desember",PEMBAYARAN!$C$4:$C$500,"Minggu 5"),"")</f>
        <v/>
      </c>
      <c r="H7" s="23">
        <f t="shared" si="0"/>
        <v>20000</v>
      </c>
      <c r="I7" s="23">
        <f t="shared" si="1"/>
        <v>0</v>
      </c>
      <c r="J7" s="23">
        <f t="shared" si="2"/>
        <v>20000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-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IF(1&lt;=$D$2,SUMIFS(PEMBAYARAN!$E$4:$E$500,PEMBAYARAN!$A$4:$A$500,$B8,PEMBAYARAN!$B$4:$B$500,"Desember",PEMBAYARAN!$C$4:$C$500,"Minggu 1"),"")</f>
        <v>0</v>
      </c>
      <c r="D8" s="23">
        <f>IF(2&lt;=$D$2,SUMIFS(PEMBAYARAN!$E$4:$E$500,PEMBAYARAN!$A$4:$A$500,$B8,PEMBAYARAN!$B$4:$B$500,"Desember",PEMBAYARAN!$C$4:$C$500,"Minggu 2"),"")</f>
        <v>0</v>
      </c>
      <c r="E8" s="23">
        <f>IF(3&lt;=$D$2,SUMIFS(PEMBAYARAN!$E$4:$E$500,PEMBAYARAN!$A$4:$A$500,$B8,PEMBAYARAN!$B$4:$B$500,"Desember",PEMBAYARAN!$C$4:$C$500,"Minggu 3"),"")</f>
        <v>0</v>
      </c>
      <c r="F8" s="23">
        <f>IF(4&lt;=$D$2,SUMIFS(PEMBAYARAN!$E$4:$E$500,PEMBAYARAN!$A$4:$A$500,$B8,PEMBAYARAN!$B$4:$B$500,"Desember",PEMBAYARAN!$C$4:$C$500,"Minggu 4"),"")</f>
        <v>0</v>
      </c>
      <c r="G8" s="23" t="str">
        <f>IF(5&lt;=$D$2,SUMIFS(PEMBAYARAN!$E$4:$E$500,PEMBAYARAN!$A$4:$A$500,$B8,PEMBAYARAN!$B$4:$B$500,"Desember",PEMBAYARAN!$C$4:$C$500,"Minggu 5"),"")</f>
        <v/>
      </c>
      <c r="H8" s="23">
        <f t="shared" si="0"/>
        <v>20000</v>
      </c>
      <c r="I8" s="23">
        <f t="shared" si="1"/>
        <v>0</v>
      </c>
      <c r="J8" s="23">
        <f t="shared" si="2"/>
        <v>20000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-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IF(1&lt;=$D$2,SUMIFS(PEMBAYARAN!$E$4:$E$500,PEMBAYARAN!$A$4:$A$500,$B9,PEMBAYARAN!$B$4:$B$500,"Desember",PEMBAYARAN!$C$4:$C$500,"Minggu 1"),"")</f>
        <v>0</v>
      </c>
      <c r="D9" s="23">
        <f>IF(2&lt;=$D$2,SUMIFS(PEMBAYARAN!$E$4:$E$500,PEMBAYARAN!$A$4:$A$500,$B9,PEMBAYARAN!$B$4:$B$500,"Desember",PEMBAYARAN!$C$4:$C$500,"Minggu 2"),"")</f>
        <v>0</v>
      </c>
      <c r="E9" s="23">
        <f>IF(3&lt;=$D$2,SUMIFS(PEMBAYARAN!$E$4:$E$500,PEMBAYARAN!$A$4:$A$500,$B9,PEMBAYARAN!$B$4:$B$500,"Desember",PEMBAYARAN!$C$4:$C$500,"Minggu 3"),"")</f>
        <v>0</v>
      </c>
      <c r="F9" s="23">
        <f>IF(4&lt;=$D$2,SUMIFS(PEMBAYARAN!$E$4:$E$500,PEMBAYARAN!$A$4:$A$500,$B9,PEMBAYARAN!$B$4:$B$500,"Desember",PEMBAYARAN!$C$4:$C$500,"Minggu 4"),"")</f>
        <v>0</v>
      </c>
      <c r="G9" s="23" t="str">
        <f>IF(5&lt;=$D$2,SUMIFS(PEMBAYARAN!$E$4:$E$500,PEMBAYARAN!$A$4:$A$500,$B9,PEMBAYARAN!$B$4:$B$500,"Desember",PEMBAYARAN!$C$4:$C$500,"Minggu 5"),"")</f>
        <v/>
      </c>
      <c r="H9" s="23">
        <f t="shared" si="0"/>
        <v>20000</v>
      </c>
      <c r="I9" s="23">
        <f t="shared" si="1"/>
        <v>0</v>
      </c>
      <c r="J9" s="23">
        <f t="shared" si="2"/>
        <v>20000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-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IF(1&lt;=$D$2,SUMIFS(PEMBAYARAN!$E$4:$E$500,PEMBAYARAN!$A$4:$A$500,$B10,PEMBAYARAN!$B$4:$B$500,"Desember",PEMBAYARAN!$C$4:$C$500,"Minggu 1"),"")</f>
        <v>0</v>
      </c>
      <c r="D10" s="23">
        <f>IF(2&lt;=$D$2,SUMIFS(PEMBAYARAN!$E$4:$E$500,PEMBAYARAN!$A$4:$A$500,$B10,PEMBAYARAN!$B$4:$B$500,"Desember",PEMBAYARAN!$C$4:$C$500,"Minggu 2"),"")</f>
        <v>0</v>
      </c>
      <c r="E10" s="23">
        <f>IF(3&lt;=$D$2,SUMIFS(PEMBAYARAN!$E$4:$E$500,PEMBAYARAN!$A$4:$A$500,$B10,PEMBAYARAN!$B$4:$B$500,"Desember",PEMBAYARAN!$C$4:$C$500,"Minggu 3"),"")</f>
        <v>0</v>
      </c>
      <c r="F10" s="23">
        <f>IF(4&lt;=$D$2,SUMIFS(PEMBAYARAN!$E$4:$E$500,PEMBAYARAN!$A$4:$A$500,$B10,PEMBAYARAN!$B$4:$B$500,"Desember",PEMBAYARAN!$C$4:$C$500,"Minggu 4"),"")</f>
        <v>0</v>
      </c>
      <c r="G10" s="23" t="str">
        <f>IF(5&lt;=$D$2,SUMIFS(PEMBAYARAN!$E$4:$E$500,PEMBAYARAN!$A$4:$A$500,$B10,PEMBAYARAN!$B$4:$B$500,"Desember",PEMBAYARAN!$C$4:$C$500,"Minggu 5"),"")</f>
        <v/>
      </c>
      <c r="H10" s="23">
        <f t="shared" si="0"/>
        <v>20000</v>
      </c>
      <c r="I10" s="23">
        <f t="shared" si="1"/>
        <v>0</v>
      </c>
      <c r="J10" s="23">
        <f t="shared" si="2"/>
        <v>20000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-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IF(1&lt;=$D$2,SUMIFS(PEMBAYARAN!$E$4:$E$500,PEMBAYARAN!$A$4:$A$500,$B11,PEMBAYARAN!$B$4:$B$500,"Desember",PEMBAYARAN!$C$4:$C$500,"Minggu 1"),"")</f>
        <v>0</v>
      </c>
      <c r="D11" s="23">
        <f>IF(2&lt;=$D$2,SUMIFS(PEMBAYARAN!$E$4:$E$500,PEMBAYARAN!$A$4:$A$500,$B11,PEMBAYARAN!$B$4:$B$500,"Desember",PEMBAYARAN!$C$4:$C$500,"Minggu 2"),"")</f>
        <v>0</v>
      </c>
      <c r="E11" s="23">
        <f>IF(3&lt;=$D$2,SUMIFS(PEMBAYARAN!$E$4:$E$500,PEMBAYARAN!$A$4:$A$500,$B11,PEMBAYARAN!$B$4:$B$500,"Desember",PEMBAYARAN!$C$4:$C$500,"Minggu 3"),"")</f>
        <v>0</v>
      </c>
      <c r="F11" s="23">
        <f>IF(4&lt;=$D$2,SUMIFS(PEMBAYARAN!$E$4:$E$500,PEMBAYARAN!$A$4:$A$500,$B11,PEMBAYARAN!$B$4:$B$500,"Desember",PEMBAYARAN!$C$4:$C$500,"Minggu 4"),"")</f>
        <v>0</v>
      </c>
      <c r="G11" s="23" t="str">
        <f>IF(5&lt;=$D$2,SUMIFS(PEMBAYARAN!$E$4:$E$500,PEMBAYARAN!$A$4:$A$500,$B11,PEMBAYARAN!$B$4:$B$500,"Desember",PEMBAYARAN!$C$4:$C$500,"Minggu 5"),"")</f>
        <v/>
      </c>
      <c r="H11" s="23">
        <f t="shared" si="0"/>
        <v>20000</v>
      </c>
      <c r="I11" s="23">
        <f t="shared" si="1"/>
        <v>0</v>
      </c>
      <c r="J11" s="23">
        <f t="shared" si="2"/>
        <v>20000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-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IF(1&lt;=$D$2,SUMIFS(PEMBAYARAN!$E$4:$E$500,PEMBAYARAN!$A$4:$A$500,$B12,PEMBAYARAN!$B$4:$B$500,"Desember",PEMBAYARAN!$C$4:$C$500,"Minggu 1"),"")</f>
        <v>0</v>
      </c>
      <c r="D12" s="23">
        <f>IF(2&lt;=$D$2,SUMIFS(PEMBAYARAN!$E$4:$E$500,PEMBAYARAN!$A$4:$A$500,$B12,PEMBAYARAN!$B$4:$B$500,"Desember",PEMBAYARAN!$C$4:$C$500,"Minggu 2"),"")</f>
        <v>0</v>
      </c>
      <c r="E12" s="23">
        <f>IF(3&lt;=$D$2,SUMIFS(PEMBAYARAN!$E$4:$E$500,PEMBAYARAN!$A$4:$A$500,$B12,PEMBAYARAN!$B$4:$B$500,"Desember",PEMBAYARAN!$C$4:$C$500,"Minggu 3"),"")</f>
        <v>0</v>
      </c>
      <c r="F12" s="23">
        <f>IF(4&lt;=$D$2,SUMIFS(PEMBAYARAN!$E$4:$E$500,PEMBAYARAN!$A$4:$A$500,$B12,PEMBAYARAN!$B$4:$B$500,"Desember",PEMBAYARAN!$C$4:$C$500,"Minggu 4"),"")</f>
        <v>0</v>
      </c>
      <c r="G12" s="23" t="str">
        <f>IF(5&lt;=$D$2,SUMIFS(PEMBAYARAN!$E$4:$E$500,PEMBAYARAN!$A$4:$A$500,$B12,PEMBAYARAN!$B$4:$B$500,"Desember",PEMBAYARAN!$C$4:$C$500,"Minggu 5"),"")</f>
        <v/>
      </c>
      <c r="H12" s="23">
        <f t="shared" si="0"/>
        <v>20000</v>
      </c>
      <c r="I12" s="23">
        <f t="shared" si="1"/>
        <v>0</v>
      </c>
      <c r="J12" s="23">
        <f t="shared" si="2"/>
        <v>20000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-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IF(1&lt;=$D$2,SUMIFS(PEMBAYARAN!$E$4:$E$500,PEMBAYARAN!$A$4:$A$500,$B13,PEMBAYARAN!$B$4:$B$500,"Desember",PEMBAYARAN!$C$4:$C$500,"Minggu 1"),"")</f>
        <v>0</v>
      </c>
      <c r="D13" s="23">
        <f>IF(2&lt;=$D$2,SUMIFS(PEMBAYARAN!$E$4:$E$500,PEMBAYARAN!$A$4:$A$500,$B13,PEMBAYARAN!$B$4:$B$500,"Desember",PEMBAYARAN!$C$4:$C$500,"Minggu 2"),"")</f>
        <v>0</v>
      </c>
      <c r="E13" s="23">
        <f>IF(3&lt;=$D$2,SUMIFS(PEMBAYARAN!$E$4:$E$500,PEMBAYARAN!$A$4:$A$500,$B13,PEMBAYARAN!$B$4:$B$500,"Desember",PEMBAYARAN!$C$4:$C$500,"Minggu 3"),"")</f>
        <v>0</v>
      </c>
      <c r="F13" s="23">
        <f>IF(4&lt;=$D$2,SUMIFS(PEMBAYARAN!$E$4:$E$500,PEMBAYARAN!$A$4:$A$500,$B13,PEMBAYARAN!$B$4:$B$500,"Desember",PEMBAYARAN!$C$4:$C$500,"Minggu 4"),"")</f>
        <v>0</v>
      </c>
      <c r="G13" s="23" t="str">
        <f>IF(5&lt;=$D$2,SUMIFS(PEMBAYARAN!$E$4:$E$500,PEMBAYARAN!$A$4:$A$500,$B13,PEMBAYARAN!$B$4:$B$500,"Desember",PEMBAYARAN!$C$4:$C$500,"Minggu 5"),"")</f>
        <v/>
      </c>
      <c r="H13" s="23">
        <f t="shared" si="0"/>
        <v>20000</v>
      </c>
      <c r="I13" s="23">
        <f t="shared" si="1"/>
        <v>0</v>
      </c>
      <c r="J13" s="23">
        <f t="shared" si="2"/>
        <v>20000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-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IF(1&lt;=$D$2,SUMIFS(PEMBAYARAN!$E$4:$E$500,PEMBAYARAN!$A$4:$A$500,$B14,PEMBAYARAN!$B$4:$B$500,"Desember",PEMBAYARAN!$C$4:$C$500,"Minggu 1"),"")</f>
        <v>0</v>
      </c>
      <c r="D14" s="23">
        <f>IF(2&lt;=$D$2,SUMIFS(PEMBAYARAN!$E$4:$E$500,PEMBAYARAN!$A$4:$A$500,$B14,PEMBAYARAN!$B$4:$B$500,"Desember",PEMBAYARAN!$C$4:$C$500,"Minggu 2"),"")</f>
        <v>0</v>
      </c>
      <c r="E14" s="23">
        <f>IF(3&lt;=$D$2,SUMIFS(PEMBAYARAN!$E$4:$E$500,PEMBAYARAN!$A$4:$A$500,$B14,PEMBAYARAN!$B$4:$B$500,"Desember",PEMBAYARAN!$C$4:$C$500,"Minggu 3"),"")</f>
        <v>0</v>
      </c>
      <c r="F14" s="23">
        <f>IF(4&lt;=$D$2,SUMIFS(PEMBAYARAN!$E$4:$E$500,PEMBAYARAN!$A$4:$A$500,$B14,PEMBAYARAN!$B$4:$B$500,"Desember",PEMBAYARAN!$C$4:$C$500,"Minggu 4"),"")</f>
        <v>0</v>
      </c>
      <c r="G14" s="23" t="str">
        <f>IF(5&lt;=$D$2,SUMIFS(PEMBAYARAN!$E$4:$E$500,PEMBAYARAN!$A$4:$A$500,$B14,PEMBAYARAN!$B$4:$B$500,"Desember",PEMBAYARAN!$C$4:$C$500,"Minggu 5"),"")</f>
        <v/>
      </c>
      <c r="H14" s="23">
        <f t="shared" si="0"/>
        <v>20000</v>
      </c>
      <c r="I14" s="23">
        <f t="shared" si="1"/>
        <v>0</v>
      </c>
      <c r="J14" s="23">
        <f t="shared" si="2"/>
        <v>20000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-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IF(1&lt;=$D$2,SUMIFS(PEMBAYARAN!$E$4:$E$500,PEMBAYARAN!$A$4:$A$500,$B15,PEMBAYARAN!$B$4:$B$500,"Desember",PEMBAYARAN!$C$4:$C$500,"Minggu 1"),"")</f>
        <v>0</v>
      </c>
      <c r="D15" s="23">
        <f>IF(2&lt;=$D$2,SUMIFS(PEMBAYARAN!$E$4:$E$500,PEMBAYARAN!$A$4:$A$500,$B15,PEMBAYARAN!$B$4:$B$500,"Desember",PEMBAYARAN!$C$4:$C$500,"Minggu 2"),"")</f>
        <v>0</v>
      </c>
      <c r="E15" s="23">
        <f>IF(3&lt;=$D$2,SUMIFS(PEMBAYARAN!$E$4:$E$500,PEMBAYARAN!$A$4:$A$500,$B15,PEMBAYARAN!$B$4:$B$500,"Desember",PEMBAYARAN!$C$4:$C$500,"Minggu 3"),"")</f>
        <v>0</v>
      </c>
      <c r="F15" s="23">
        <f>IF(4&lt;=$D$2,SUMIFS(PEMBAYARAN!$E$4:$E$500,PEMBAYARAN!$A$4:$A$500,$B15,PEMBAYARAN!$B$4:$B$500,"Desember",PEMBAYARAN!$C$4:$C$500,"Minggu 4"),"")</f>
        <v>0</v>
      </c>
      <c r="G15" s="23" t="str">
        <f>IF(5&lt;=$D$2,SUMIFS(PEMBAYARAN!$E$4:$E$500,PEMBAYARAN!$A$4:$A$500,$B15,PEMBAYARAN!$B$4:$B$500,"Desember",PEMBAYARAN!$C$4:$C$500,"Minggu 5"),"")</f>
        <v/>
      </c>
      <c r="H15" s="23">
        <f t="shared" si="0"/>
        <v>20000</v>
      </c>
      <c r="I15" s="23">
        <f t="shared" si="1"/>
        <v>0</v>
      </c>
      <c r="J15" s="23">
        <f t="shared" si="2"/>
        <v>20000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-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IF(1&lt;=$D$2,SUMIFS(PEMBAYARAN!$E$4:$E$500,PEMBAYARAN!$A$4:$A$500,$B16,PEMBAYARAN!$B$4:$B$500,"Desember",PEMBAYARAN!$C$4:$C$500,"Minggu 1"),"")</f>
        <v>0</v>
      </c>
      <c r="D16" s="23">
        <f>IF(2&lt;=$D$2,SUMIFS(PEMBAYARAN!$E$4:$E$500,PEMBAYARAN!$A$4:$A$500,$B16,PEMBAYARAN!$B$4:$B$500,"Desember",PEMBAYARAN!$C$4:$C$500,"Minggu 2"),"")</f>
        <v>0</v>
      </c>
      <c r="E16" s="23">
        <f>IF(3&lt;=$D$2,SUMIFS(PEMBAYARAN!$E$4:$E$500,PEMBAYARAN!$A$4:$A$500,$B16,PEMBAYARAN!$B$4:$B$500,"Desember",PEMBAYARAN!$C$4:$C$500,"Minggu 3"),"")</f>
        <v>0</v>
      </c>
      <c r="F16" s="23">
        <f>IF(4&lt;=$D$2,SUMIFS(PEMBAYARAN!$E$4:$E$500,PEMBAYARAN!$A$4:$A$500,$B16,PEMBAYARAN!$B$4:$B$500,"Desember",PEMBAYARAN!$C$4:$C$500,"Minggu 4"),"")</f>
        <v>0</v>
      </c>
      <c r="G16" s="23" t="str">
        <f>IF(5&lt;=$D$2,SUMIFS(PEMBAYARAN!$E$4:$E$500,PEMBAYARAN!$A$4:$A$500,$B16,PEMBAYARAN!$B$4:$B$500,"Desember",PEMBAYARAN!$C$4:$C$500,"Minggu 5"),"")</f>
        <v/>
      </c>
      <c r="H16" s="23">
        <f t="shared" si="0"/>
        <v>20000</v>
      </c>
      <c r="I16" s="23">
        <f t="shared" si="1"/>
        <v>0</v>
      </c>
      <c r="J16" s="23">
        <f t="shared" si="2"/>
        <v>20000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-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IF(1&lt;=$D$2,SUMIFS(PEMBAYARAN!$E$4:$E$500,PEMBAYARAN!$A$4:$A$500,$B17,PEMBAYARAN!$B$4:$B$500,"Desember",PEMBAYARAN!$C$4:$C$500,"Minggu 1"),"")</f>
        <v>0</v>
      </c>
      <c r="D17" s="23">
        <f>IF(2&lt;=$D$2,SUMIFS(PEMBAYARAN!$E$4:$E$500,PEMBAYARAN!$A$4:$A$500,$B17,PEMBAYARAN!$B$4:$B$500,"Desember",PEMBAYARAN!$C$4:$C$500,"Minggu 2"),"")</f>
        <v>0</v>
      </c>
      <c r="E17" s="23">
        <f>IF(3&lt;=$D$2,SUMIFS(PEMBAYARAN!$E$4:$E$500,PEMBAYARAN!$A$4:$A$500,$B17,PEMBAYARAN!$B$4:$B$500,"Desember",PEMBAYARAN!$C$4:$C$500,"Minggu 3"),"")</f>
        <v>0</v>
      </c>
      <c r="F17" s="23">
        <f>IF(4&lt;=$D$2,SUMIFS(PEMBAYARAN!$E$4:$E$500,PEMBAYARAN!$A$4:$A$500,$B17,PEMBAYARAN!$B$4:$B$500,"Desember",PEMBAYARAN!$C$4:$C$500,"Minggu 4"),"")</f>
        <v>0</v>
      </c>
      <c r="G17" s="23" t="str">
        <f>IF(5&lt;=$D$2,SUMIFS(PEMBAYARAN!$E$4:$E$500,PEMBAYARAN!$A$4:$A$500,$B17,PEMBAYARAN!$B$4:$B$500,"Desember",PEMBAYARAN!$C$4:$C$500,"Minggu 5"),"")</f>
        <v/>
      </c>
      <c r="H17" s="23">
        <f t="shared" si="0"/>
        <v>20000</v>
      </c>
      <c r="I17" s="23">
        <f t="shared" si="1"/>
        <v>0</v>
      </c>
      <c r="J17" s="23">
        <f t="shared" si="2"/>
        <v>20000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-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IF(1&lt;=$D$2,SUMIFS(PEMBAYARAN!$E$4:$E$500,PEMBAYARAN!$A$4:$A$500,$B18,PEMBAYARAN!$B$4:$B$500,"Desember",PEMBAYARAN!$C$4:$C$500,"Minggu 1"),"")</f>
        <v>0</v>
      </c>
      <c r="D18" s="23">
        <f>IF(2&lt;=$D$2,SUMIFS(PEMBAYARAN!$E$4:$E$500,PEMBAYARAN!$A$4:$A$500,$B18,PEMBAYARAN!$B$4:$B$500,"Desember",PEMBAYARAN!$C$4:$C$500,"Minggu 2"),"")</f>
        <v>0</v>
      </c>
      <c r="E18" s="23">
        <f>IF(3&lt;=$D$2,SUMIFS(PEMBAYARAN!$E$4:$E$500,PEMBAYARAN!$A$4:$A$500,$B18,PEMBAYARAN!$B$4:$B$500,"Desember",PEMBAYARAN!$C$4:$C$500,"Minggu 3"),"")</f>
        <v>0</v>
      </c>
      <c r="F18" s="23">
        <f>IF(4&lt;=$D$2,SUMIFS(PEMBAYARAN!$E$4:$E$500,PEMBAYARAN!$A$4:$A$500,$B18,PEMBAYARAN!$B$4:$B$500,"Desember",PEMBAYARAN!$C$4:$C$500,"Minggu 4"),"")</f>
        <v>0</v>
      </c>
      <c r="G18" s="23" t="str">
        <f>IF(5&lt;=$D$2,SUMIFS(PEMBAYARAN!$E$4:$E$500,PEMBAYARAN!$A$4:$A$500,$B18,PEMBAYARAN!$B$4:$B$500,"Desember",PEMBAYARAN!$C$4:$C$500,"Minggu 5"),"")</f>
        <v/>
      </c>
      <c r="H18" s="23">
        <f t="shared" si="0"/>
        <v>20000</v>
      </c>
      <c r="I18" s="23">
        <f t="shared" si="1"/>
        <v>0</v>
      </c>
      <c r="J18" s="23">
        <f t="shared" si="2"/>
        <v>20000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-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IF(1&lt;=$D$2,SUMIFS(PEMBAYARAN!$E$4:$E$500,PEMBAYARAN!$A$4:$A$500,$B19,PEMBAYARAN!$B$4:$B$500,"Desember",PEMBAYARAN!$C$4:$C$500,"Minggu 1"),"")</f>
        <v>0</v>
      </c>
      <c r="D19" s="23">
        <f>IF(2&lt;=$D$2,SUMIFS(PEMBAYARAN!$E$4:$E$500,PEMBAYARAN!$A$4:$A$500,$B19,PEMBAYARAN!$B$4:$B$500,"Desember",PEMBAYARAN!$C$4:$C$500,"Minggu 2"),"")</f>
        <v>0</v>
      </c>
      <c r="E19" s="23">
        <f>IF(3&lt;=$D$2,SUMIFS(PEMBAYARAN!$E$4:$E$500,PEMBAYARAN!$A$4:$A$500,$B19,PEMBAYARAN!$B$4:$B$500,"Desember",PEMBAYARAN!$C$4:$C$500,"Minggu 3"),"")</f>
        <v>0</v>
      </c>
      <c r="F19" s="23">
        <f>IF(4&lt;=$D$2,SUMIFS(PEMBAYARAN!$E$4:$E$500,PEMBAYARAN!$A$4:$A$500,$B19,PEMBAYARAN!$B$4:$B$500,"Desember",PEMBAYARAN!$C$4:$C$500,"Minggu 4"),"")</f>
        <v>0</v>
      </c>
      <c r="G19" s="23" t="str">
        <f>IF(5&lt;=$D$2,SUMIFS(PEMBAYARAN!$E$4:$E$500,PEMBAYARAN!$A$4:$A$500,$B19,PEMBAYARAN!$B$4:$B$500,"Desember",PEMBAYARAN!$C$4:$C$500,"Minggu 5"),"")</f>
        <v/>
      </c>
      <c r="H19" s="23">
        <f t="shared" si="0"/>
        <v>20000</v>
      </c>
      <c r="I19" s="23">
        <f t="shared" si="1"/>
        <v>0</v>
      </c>
      <c r="J19" s="23">
        <f t="shared" si="2"/>
        <v>20000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-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IF(1&lt;=$D$2,SUMIFS(PEMBAYARAN!$E$4:$E$500,PEMBAYARAN!$A$4:$A$500,$B20,PEMBAYARAN!$B$4:$B$500,"Desember",PEMBAYARAN!$C$4:$C$500,"Minggu 1"),"")</f>
        <v>0</v>
      </c>
      <c r="D20" s="23">
        <f>IF(2&lt;=$D$2,SUMIFS(PEMBAYARAN!$E$4:$E$500,PEMBAYARAN!$A$4:$A$500,$B20,PEMBAYARAN!$B$4:$B$500,"Desember",PEMBAYARAN!$C$4:$C$500,"Minggu 2"),"")</f>
        <v>0</v>
      </c>
      <c r="E20" s="23">
        <f>IF(3&lt;=$D$2,SUMIFS(PEMBAYARAN!$E$4:$E$500,PEMBAYARAN!$A$4:$A$500,$B20,PEMBAYARAN!$B$4:$B$500,"Desember",PEMBAYARAN!$C$4:$C$500,"Minggu 3"),"")</f>
        <v>0</v>
      </c>
      <c r="F20" s="23">
        <f>IF(4&lt;=$D$2,SUMIFS(PEMBAYARAN!$E$4:$E$500,PEMBAYARAN!$A$4:$A$500,$B20,PEMBAYARAN!$B$4:$B$500,"Desember",PEMBAYARAN!$C$4:$C$500,"Minggu 4"),"")</f>
        <v>0</v>
      </c>
      <c r="G20" s="23" t="str">
        <f>IF(5&lt;=$D$2,SUMIFS(PEMBAYARAN!$E$4:$E$500,PEMBAYARAN!$A$4:$A$500,$B20,PEMBAYARAN!$B$4:$B$500,"Desember",PEMBAYARAN!$C$4:$C$500,"Minggu 5"),"")</f>
        <v/>
      </c>
      <c r="H20" s="23">
        <f t="shared" si="0"/>
        <v>20000</v>
      </c>
      <c r="I20" s="23">
        <f t="shared" si="1"/>
        <v>0</v>
      </c>
      <c r="J20" s="23">
        <f t="shared" si="2"/>
        <v>20000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-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IF(1&lt;=$D$2,SUMIFS(PEMBAYARAN!$E$4:$E$500,PEMBAYARAN!$A$4:$A$500,$B21,PEMBAYARAN!$B$4:$B$500,"Desember",PEMBAYARAN!$C$4:$C$500,"Minggu 1"),"")</f>
        <v>0</v>
      </c>
      <c r="D21" s="23">
        <f>IF(2&lt;=$D$2,SUMIFS(PEMBAYARAN!$E$4:$E$500,PEMBAYARAN!$A$4:$A$500,$B21,PEMBAYARAN!$B$4:$B$500,"Desember",PEMBAYARAN!$C$4:$C$500,"Minggu 2"),"")</f>
        <v>0</v>
      </c>
      <c r="E21" s="23">
        <f>IF(3&lt;=$D$2,SUMIFS(PEMBAYARAN!$E$4:$E$500,PEMBAYARAN!$A$4:$A$500,$B21,PEMBAYARAN!$B$4:$B$500,"Desember",PEMBAYARAN!$C$4:$C$500,"Minggu 3"),"")</f>
        <v>0</v>
      </c>
      <c r="F21" s="23">
        <f>IF(4&lt;=$D$2,SUMIFS(PEMBAYARAN!$E$4:$E$500,PEMBAYARAN!$A$4:$A$500,$B21,PEMBAYARAN!$B$4:$B$500,"Desember",PEMBAYARAN!$C$4:$C$500,"Minggu 4"),"")</f>
        <v>0</v>
      </c>
      <c r="G21" s="23" t="str">
        <f>IF(5&lt;=$D$2,SUMIFS(PEMBAYARAN!$E$4:$E$500,PEMBAYARAN!$A$4:$A$500,$B21,PEMBAYARAN!$B$4:$B$500,"Desember",PEMBAYARAN!$C$4:$C$500,"Minggu 5"),"")</f>
        <v/>
      </c>
      <c r="H21" s="23">
        <f t="shared" si="0"/>
        <v>20000</v>
      </c>
      <c r="I21" s="23">
        <f t="shared" si="1"/>
        <v>0</v>
      </c>
      <c r="J21" s="23">
        <f t="shared" si="2"/>
        <v>20000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-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IF(1&lt;=$D$2,SUMIFS(PEMBAYARAN!$E$4:$E$500,PEMBAYARAN!$A$4:$A$500,$B22,PEMBAYARAN!$B$4:$B$500,"Desember",PEMBAYARAN!$C$4:$C$500,"Minggu 1"),"")</f>
        <v>0</v>
      </c>
      <c r="D22" s="23">
        <f>IF(2&lt;=$D$2,SUMIFS(PEMBAYARAN!$E$4:$E$500,PEMBAYARAN!$A$4:$A$500,$B22,PEMBAYARAN!$B$4:$B$500,"Desember",PEMBAYARAN!$C$4:$C$500,"Minggu 2"),"")</f>
        <v>0</v>
      </c>
      <c r="E22" s="23">
        <f>IF(3&lt;=$D$2,SUMIFS(PEMBAYARAN!$E$4:$E$500,PEMBAYARAN!$A$4:$A$500,$B22,PEMBAYARAN!$B$4:$B$500,"Desember",PEMBAYARAN!$C$4:$C$500,"Minggu 3"),"")</f>
        <v>0</v>
      </c>
      <c r="F22" s="23">
        <f>IF(4&lt;=$D$2,SUMIFS(PEMBAYARAN!$E$4:$E$500,PEMBAYARAN!$A$4:$A$500,$B22,PEMBAYARAN!$B$4:$B$500,"Desember",PEMBAYARAN!$C$4:$C$500,"Minggu 4"),"")</f>
        <v>0</v>
      </c>
      <c r="G22" s="23" t="str">
        <f>IF(5&lt;=$D$2,SUMIFS(PEMBAYARAN!$E$4:$E$500,PEMBAYARAN!$A$4:$A$500,$B22,PEMBAYARAN!$B$4:$B$500,"Desember",PEMBAYARAN!$C$4:$C$500,"Minggu 5"),"")</f>
        <v/>
      </c>
      <c r="H22" s="23">
        <f t="shared" si="0"/>
        <v>20000</v>
      </c>
      <c r="I22" s="23">
        <f t="shared" si="1"/>
        <v>0</v>
      </c>
      <c r="J22" s="23">
        <f t="shared" si="2"/>
        <v>20000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-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IF(1&lt;=$D$2,SUMIFS(PEMBAYARAN!$E$4:$E$500,PEMBAYARAN!$A$4:$A$500,$B23,PEMBAYARAN!$B$4:$B$500,"Desember",PEMBAYARAN!$C$4:$C$500,"Minggu 1"),"")</f>
        <v>0</v>
      </c>
      <c r="D23" s="23">
        <f>IF(2&lt;=$D$2,SUMIFS(PEMBAYARAN!$E$4:$E$500,PEMBAYARAN!$A$4:$A$500,$B23,PEMBAYARAN!$B$4:$B$500,"Desember",PEMBAYARAN!$C$4:$C$500,"Minggu 2"),"")</f>
        <v>0</v>
      </c>
      <c r="E23" s="23">
        <f>IF(3&lt;=$D$2,SUMIFS(PEMBAYARAN!$E$4:$E$500,PEMBAYARAN!$A$4:$A$500,$B23,PEMBAYARAN!$B$4:$B$500,"Desember",PEMBAYARAN!$C$4:$C$500,"Minggu 3"),"")</f>
        <v>0</v>
      </c>
      <c r="F23" s="23">
        <f>IF(4&lt;=$D$2,SUMIFS(PEMBAYARAN!$E$4:$E$500,PEMBAYARAN!$A$4:$A$500,$B23,PEMBAYARAN!$B$4:$B$500,"Desember",PEMBAYARAN!$C$4:$C$500,"Minggu 4"),"")</f>
        <v>0</v>
      </c>
      <c r="G23" s="23" t="str">
        <f>IF(5&lt;=$D$2,SUMIFS(PEMBAYARAN!$E$4:$E$500,PEMBAYARAN!$A$4:$A$500,$B23,PEMBAYARAN!$B$4:$B$500,"Desember",PEMBAYARAN!$C$4:$C$500,"Minggu 5"),"")</f>
        <v/>
      </c>
      <c r="H23" s="23">
        <f t="shared" si="0"/>
        <v>20000</v>
      </c>
      <c r="I23" s="23">
        <f t="shared" si="1"/>
        <v>0</v>
      </c>
      <c r="J23" s="23">
        <f t="shared" si="2"/>
        <v>20000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-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IF(1&lt;=$D$2,SUMIFS(PEMBAYARAN!$E$4:$E$500,PEMBAYARAN!$A$4:$A$500,$B24,PEMBAYARAN!$B$4:$B$500,"Desember",PEMBAYARAN!$C$4:$C$500,"Minggu 1"),"")</f>
        <v>0</v>
      </c>
      <c r="D24" s="23">
        <f>IF(2&lt;=$D$2,SUMIFS(PEMBAYARAN!$E$4:$E$500,PEMBAYARAN!$A$4:$A$500,$B24,PEMBAYARAN!$B$4:$B$500,"Desember",PEMBAYARAN!$C$4:$C$500,"Minggu 2"),"")</f>
        <v>0</v>
      </c>
      <c r="E24" s="23">
        <f>IF(3&lt;=$D$2,SUMIFS(PEMBAYARAN!$E$4:$E$500,PEMBAYARAN!$A$4:$A$500,$B24,PEMBAYARAN!$B$4:$B$500,"Desember",PEMBAYARAN!$C$4:$C$500,"Minggu 3"),"")</f>
        <v>0</v>
      </c>
      <c r="F24" s="23">
        <f>IF(4&lt;=$D$2,SUMIFS(PEMBAYARAN!$E$4:$E$500,PEMBAYARAN!$A$4:$A$500,$B24,PEMBAYARAN!$B$4:$B$500,"Desember",PEMBAYARAN!$C$4:$C$500,"Minggu 4"),"")</f>
        <v>0</v>
      </c>
      <c r="G24" s="23" t="str">
        <f>IF(5&lt;=$D$2,SUMIFS(PEMBAYARAN!$E$4:$E$500,PEMBAYARAN!$A$4:$A$500,$B24,PEMBAYARAN!$B$4:$B$500,"Desember",PEMBAYARAN!$C$4:$C$500,"Minggu 5"),"")</f>
        <v/>
      </c>
      <c r="H24" s="23">
        <f t="shared" si="0"/>
        <v>20000</v>
      </c>
      <c r="I24" s="23">
        <f t="shared" si="1"/>
        <v>0</v>
      </c>
      <c r="J24" s="23">
        <f t="shared" si="2"/>
        <v>20000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-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IF(1&lt;=$D$2,SUMIFS(PEMBAYARAN!$E$4:$E$500,PEMBAYARAN!$A$4:$A$500,$B25,PEMBAYARAN!$B$4:$B$500,"Desember",PEMBAYARAN!$C$4:$C$500,"Minggu 1"),"")</f>
        <v>0</v>
      </c>
      <c r="D25" s="23">
        <f>IF(2&lt;=$D$2,SUMIFS(PEMBAYARAN!$E$4:$E$500,PEMBAYARAN!$A$4:$A$500,$B25,PEMBAYARAN!$B$4:$B$500,"Desember",PEMBAYARAN!$C$4:$C$500,"Minggu 2"),"")</f>
        <v>0</v>
      </c>
      <c r="E25" s="23">
        <f>IF(3&lt;=$D$2,SUMIFS(PEMBAYARAN!$E$4:$E$500,PEMBAYARAN!$A$4:$A$500,$B25,PEMBAYARAN!$B$4:$B$500,"Desember",PEMBAYARAN!$C$4:$C$500,"Minggu 3"),"")</f>
        <v>0</v>
      </c>
      <c r="F25" s="23">
        <f>IF(4&lt;=$D$2,SUMIFS(PEMBAYARAN!$E$4:$E$500,PEMBAYARAN!$A$4:$A$500,$B25,PEMBAYARAN!$B$4:$B$500,"Desember",PEMBAYARAN!$C$4:$C$500,"Minggu 4"),"")</f>
        <v>0</v>
      </c>
      <c r="G25" s="23" t="str">
        <f>IF(5&lt;=$D$2,SUMIFS(PEMBAYARAN!$E$4:$E$500,PEMBAYARAN!$A$4:$A$500,$B25,PEMBAYARAN!$B$4:$B$500,"Desember",PEMBAYARAN!$C$4:$C$500,"Minggu 5"),"")</f>
        <v/>
      </c>
      <c r="H25" s="23">
        <f t="shared" si="0"/>
        <v>20000</v>
      </c>
      <c r="I25" s="23">
        <f t="shared" si="1"/>
        <v>0</v>
      </c>
      <c r="J25" s="23">
        <f t="shared" si="2"/>
        <v>20000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-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IF(1&lt;=$D$2,SUMIFS(PEMBAYARAN!$E$4:$E$500,PEMBAYARAN!$A$4:$A$500,$B26,PEMBAYARAN!$B$4:$B$500,"Desember",PEMBAYARAN!$C$4:$C$500,"Minggu 1"),"")</f>
        <v>0</v>
      </c>
      <c r="D26" s="23">
        <f>IF(2&lt;=$D$2,SUMIFS(PEMBAYARAN!$E$4:$E$500,PEMBAYARAN!$A$4:$A$500,$B26,PEMBAYARAN!$B$4:$B$500,"Desember",PEMBAYARAN!$C$4:$C$500,"Minggu 2"),"")</f>
        <v>0</v>
      </c>
      <c r="E26" s="23">
        <f>IF(3&lt;=$D$2,SUMIFS(PEMBAYARAN!$E$4:$E$500,PEMBAYARAN!$A$4:$A$500,$B26,PEMBAYARAN!$B$4:$B$500,"Desember",PEMBAYARAN!$C$4:$C$500,"Minggu 3"),"")</f>
        <v>0</v>
      </c>
      <c r="F26" s="23">
        <f>IF(4&lt;=$D$2,SUMIFS(PEMBAYARAN!$E$4:$E$500,PEMBAYARAN!$A$4:$A$500,$B26,PEMBAYARAN!$B$4:$B$500,"Desember",PEMBAYARAN!$C$4:$C$500,"Minggu 4"),"")</f>
        <v>0</v>
      </c>
      <c r="G26" s="23" t="str">
        <f>IF(5&lt;=$D$2,SUMIFS(PEMBAYARAN!$E$4:$E$500,PEMBAYARAN!$A$4:$A$500,$B26,PEMBAYARAN!$B$4:$B$500,"Desember",PEMBAYARAN!$C$4:$C$500,"Minggu 5"),"")</f>
        <v/>
      </c>
      <c r="H26" s="23">
        <f t="shared" si="0"/>
        <v>20000</v>
      </c>
      <c r="I26" s="23">
        <f t="shared" si="1"/>
        <v>0</v>
      </c>
      <c r="J26" s="23">
        <f t="shared" si="2"/>
        <v>20000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-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IF(1&lt;=$D$2,SUMIFS(PEMBAYARAN!$E$4:$E$500,PEMBAYARAN!$A$4:$A$500,$B27,PEMBAYARAN!$B$4:$B$500,"Desember",PEMBAYARAN!$C$4:$C$500,"Minggu 1"),"")</f>
        <v>0</v>
      </c>
      <c r="D27" s="23">
        <f>IF(2&lt;=$D$2,SUMIFS(PEMBAYARAN!$E$4:$E$500,PEMBAYARAN!$A$4:$A$500,$B27,PEMBAYARAN!$B$4:$B$500,"Desember",PEMBAYARAN!$C$4:$C$500,"Minggu 2"),"")</f>
        <v>0</v>
      </c>
      <c r="E27" s="23">
        <f>IF(3&lt;=$D$2,SUMIFS(PEMBAYARAN!$E$4:$E$500,PEMBAYARAN!$A$4:$A$500,$B27,PEMBAYARAN!$B$4:$B$500,"Desember",PEMBAYARAN!$C$4:$C$500,"Minggu 3"),"")</f>
        <v>0</v>
      </c>
      <c r="F27" s="23">
        <f>IF(4&lt;=$D$2,SUMIFS(PEMBAYARAN!$E$4:$E$500,PEMBAYARAN!$A$4:$A$500,$B27,PEMBAYARAN!$B$4:$B$500,"Desember",PEMBAYARAN!$C$4:$C$500,"Minggu 4"),"")</f>
        <v>0</v>
      </c>
      <c r="G27" s="23" t="str">
        <f>IF(5&lt;=$D$2,SUMIFS(PEMBAYARAN!$E$4:$E$500,PEMBAYARAN!$A$4:$A$500,$B27,PEMBAYARAN!$B$4:$B$500,"Desember",PEMBAYARAN!$C$4:$C$500,"Minggu 5"),"")</f>
        <v/>
      </c>
      <c r="H27" s="23">
        <f t="shared" si="0"/>
        <v>20000</v>
      </c>
      <c r="I27" s="23">
        <f t="shared" si="1"/>
        <v>0</v>
      </c>
      <c r="J27" s="23">
        <f t="shared" si="2"/>
        <v>20000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-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IF(1&lt;=$D$2,SUMIFS(PEMBAYARAN!$E$4:$E$500,PEMBAYARAN!$A$4:$A$500,$B28,PEMBAYARAN!$B$4:$B$500,"Desember",PEMBAYARAN!$C$4:$C$500,"Minggu 1"),"")</f>
        <v>0</v>
      </c>
      <c r="D28" s="23">
        <f>IF(2&lt;=$D$2,SUMIFS(PEMBAYARAN!$E$4:$E$500,PEMBAYARAN!$A$4:$A$500,$B28,PEMBAYARAN!$B$4:$B$500,"Desember",PEMBAYARAN!$C$4:$C$500,"Minggu 2"),"")</f>
        <v>0</v>
      </c>
      <c r="E28" s="23">
        <f>IF(3&lt;=$D$2,SUMIFS(PEMBAYARAN!$E$4:$E$500,PEMBAYARAN!$A$4:$A$500,$B28,PEMBAYARAN!$B$4:$B$500,"Desember",PEMBAYARAN!$C$4:$C$500,"Minggu 3"),"")</f>
        <v>0</v>
      </c>
      <c r="F28" s="23">
        <f>IF(4&lt;=$D$2,SUMIFS(PEMBAYARAN!$E$4:$E$500,PEMBAYARAN!$A$4:$A$500,$B28,PEMBAYARAN!$B$4:$B$500,"Desember",PEMBAYARAN!$C$4:$C$500,"Minggu 4"),"")</f>
        <v>0</v>
      </c>
      <c r="G28" s="23" t="str">
        <f>IF(5&lt;=$D$2,SUMIFS(PEMBAYARAN!$E$4:$E$500,PEMBAYARAN!$A$4:$A$500,$B28,PEMBAYARAN!$B$4:$B$500,"Desember",PEMBAYARAN!$C$4:$C$500,"Minggu 5"),"")</f>
        <v/>
      </c>
      <c r="H28" s="23">
        <f t="shared" si="0"/>
        <v>20000</v>
      </c>
      <c r="I28" s="23">
        <f t="shared" si="1"/>
        <v>0</v>
      </c>
      <c r="J28" s="23">
        <f t="shared" si="2"/>
        <v>20000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-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IF(1&lt;=$D$2,SUMIFS(PEMBAYARAN!$E$4:$E$500,PEMBAYARAN!$A$4:$A$500,$B29,PEMBAYARAN!$B$4:$B$500,"Desember",PEMBAYARAN!$C$4:$C$500,"Minggu 1"),"")</f>
        <v>0</v>
      </c>
      <c r="D29" s="23">
        <f>IF(2&lt;=$D$2,SUMIFS(PEMBAYARAN!$E$4:$E$500,PEMBAYARAN!$A$4:$A$500,$B29,PEMBAYARAN!$B$4:$B$500,"Desember",PEMBAYARAN!$C$4:$C$500,"Minggu 2"),"")</f>
        <v>0</v>
      </c>
      <c r="E29" s="23">
        <f>IF(3&lt;=$D$2,SUMIFS(PEMBAYARAN!$E$4:$E$500,PEMBAYARAN!$A$4:$A$500,$B29,PEMBAYARAN!$B$4:$B$500,"Desember",PEMBAYARAN!$C$4:$C$500,"Minggu 3"),"")</f>
        <v>0</v>
      </c>
      <c r="F29" s="23">
        <f>IF(4&lt;=$D$2,SUMIFS(PEMBAYARAN!$E$4:$E$500,PEMBAYARAN!$A$4:$A$500,$B29,PEMBAYARAN!$B$4:$B$500,"Desember",PEMBAYARAN!$C$4:$C$500,"Minggu 4"),"")</f>
        <v>0</v>
      </c>
      <c r="G29" s="23" t="str">
        <f>IF(5&lt;=$D$2,SUMIFS(PEMBAYARAN!$E$4:$E$500,PEMBAYARAN!$A$4:$A$500,$B29,PEMBAYARAN!$B$4:$B$500,"Desember",PEMBAYARAN!$C$4:$C$500,"Minggu 5"),"")</f>
        <v/>
      </c>
      <c r="H29" s="23">
        <f t="shared" si="0"/>
        <v>20000</v>
      </c>
      <c r="I29" s="23">
        <f t="shared" si="1"/>
        <v>0</v>
      </c>
      <c r="J29" s="23">
        <f t="shared" si="2"/>
        <v>20000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-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IF(1&lt;=$D$2,SUMIFS(PEMBAYARAN!$E$4:$E$500,PEMBAYARAN!$A$4:$A$500,$B30,PEMBAYARAN!$B$4:$B$500,"Desember",PEMBAYARAN!$C$4:$C$500,"Minggu 1"),"")</f>
        <v>0</v>
      </c>
      <c r="D30" s="23">
        <f>IF(2&lt;=$D$2,SUMIFS(PEMBAYARAN!$E$4:$E$500,PEMBAYARAN!$A$4:$A$500,$B30,PEMBAYARAN!$B$4:$B$500,"Desember",PEMBAYARAN!$C$4:$C$500,"Minggu 2"),"")</f>
        <v>0</v>
      </c>
      <c r="E30" s="23">
        <f>IF(3&lt;=$D$2,SUMIFS(PEMBAYARAN!$E$4:$E$500,PEMBAYARAN!$A$4:$A$500,$B30,PEMBAYARAN!$B$4:$B$500,"Desember",PEMBAYARAN!$C$4:$C$500,"Minggu 3"),"")</f>
        <v>0</v>
      </c>
      <c r="F30" s="23">
        <f>IF(4&lt;=$D$2,SUMIFS(PEMBAYARAN!$E$4:$E$500,PEMBAYARAN!$A$4:$A$500,$B30,PEMBAYARAN!$B$4:$B$500,"Desember",PEMBAYARAN!$C$4:$C$500,"Minggu 4"),"")</f>
        <v>0</v>
      </c>
      <c r="G30" s="23" t="str">
        <f>IF(5&lt;=$D$2,SUMIFS(PEMBAYARAN!$E$4:$E$500,PEMBAYARAN!$A$4:$A$500,$B30,PEMBAYARAN!$B$4:$B$500,"Desember",PEMBAYARAN!$C$4:$C$500,"Minggu 5"),"")</f>
        <v/>
      </c>
      <c r="H30" s="23">
        <f t="shared" si="0"/>
        <v>20000</v>
      </c>
      <c r="I30" s="23">
        <f t="shared" si="1"/>
        <v>0</v>
      </c>
      <c r="J30" s="23">
        <f t="shared" si="2"/>
        <v>20000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-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IF(1&lt;=$D$2,SUMIFS(PEMBAYARAN!$E$4:$E$500,PEMBAYARAN!$A$4:$A$500,$B31,PEMBAYARAN!$B$4:$B$500,"Desember",PEMBAYARAN!$C$4:$C$500,"Minggu 1"),"")</f>
        <v>0</v>
      </c>
      <c r="D31" s="23">
        <f>IF(2&lt;=$D$2,SUMIFS(PEMBAYARAN!$E$4:$E$500,PEMBAYARAN!$A$4:$A$500,$B31,PEMBAYARAN!$B$4:$B$500,"Desember",PEMBAYARAN!$C$4:$C$500,"Minggu 2"),"")</f>
        <v>0</v>
      </c>
      <c r="E31" s="23">
        <f>IF(3&lt;=$D$2,SUMIFS(PEMBAYARAN!$E$4:$E$500,PEMBAYARAN!$A$4:$A$500,$B31,PEMBAYARAN!$B$4:$B$500,"Desember",PEMBAYARAN!$C$4:$C$500,"Minggu 3"),"")</f>
        <v>0</v>
      </c>
      <c r="F31" s="23">
        <f>IF(4&lt;=$D$2,SUMIFS(PEMBAYARAN!$E$4:$E$500,PEMBAYARAN!$A$4:$A$500,$B31,PEMBAYARAN!$B$4:$B$500,"Desember",PEMBAYARAN!$C$4:$C$500,"Minggu 4"),"")</f>
        <v>0</v>
      </c>
      <c r="G31" s="23" t="str">
        <f>IF(5&lt;=$D$2,SUMIFS(PEMBAYARAN!$E$4:$E$500,PEMBAYARAN!$A$4:$A$500,$B31,PEMBAYARAN!$B$4:$B$500,"Desember",PEMBAYARAN!$C$4:$C$500,"Minggu 5"),"")</f>
        <v/>
      </c>
      <c r="H31" s="23">
        <f t="shared" si="0"/>
        <v>20000</v>
      </c>
      <c r="I31" s="23">
        <f t="shared" si="1"/>
        <v>0</v>
      </c>
      <c r="J31" s="23">
        <f t="shared" si="2"/>
        <v>20000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-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IF(1&lt;=$D$2,SUMIFS(PEMBAYARAN!$E$4:$E$500,PEMBAYARAN!$A$4:$A$500,$B32,PEMBAYARAN!$B$4:$B$500,"Desember",PEMBAYARAN!$C$4:$C$500,"Minggu 1"),"")</f>
        <v>0</v>
      </c>
      <c r="D32" s="23">
        <f>IF(2&lt;=$D$2,SUMIFS(PEMBAYARAN!$E$4:$E$500,PEMBAYARAN!$A$4:$A$500,$B32,PEMBAYARAN!$B$4:$B$500,"Desember",PEMBAYARAN!$C$4:$C$500,"Minggu 2"),"")</f>
        <v>0</v>
      </c>
      <c r="E32" s="23">
        <f>IF(3&lt;=$D$2,SUMIFS(PEMBAYARAN!$E$4:$E$500,PEMBAYARAN!$A$4:$A$500,$B32,PEMBAYARAN!$B$4:$B$500,"Desember",PEMBAYARAN!$C$4:$C$500,"Minggu 3"),"")</f>
        <v>0</v>
      </c>
      <c r="F32" s="23">
        <f>IF(4&lt;=$D$2,SUMIFS(PEMBAYARAN!$E$4:$E$500,PEMBAYARAN!$A$4:$A$500,$B32,PEMBAYARAN!$B$4:$B$500,"Desember",PEMBAYARAN!$C$4:$C$500,"Minggu 4"),"")</f>
        <v>0</v>
      </c>
      <c r="G32" s="23" t="str">
        <f>IF(5&lt;=$D$2,SUMIFS(PEMBAYARAN!$E$4:$E$500,PEMBAYARAN!$A$4:$A$500,$B32,PEMBAYARAN!$B$4:$B$500,"Desember",PEMBAYARAN!$C$4:$C$500,"Minggu 5"),"")</f>
        <v/>
      </c>
      <c r="H32" s="23">
        <f t="shared" si="0"/>
        <v>20000</v>
      </c>
      <c r="I32" s="23">
        <f t="shared" si="1"/>
        <v>0</v>
      </c>
      <c r="J32" s="23">
        <f t="shared" si="2"/>
        <v>20000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-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IF(1&lt;=$D$2,SUMIFS(PEMBAYARAN!$E$4:$E$500,PEMBAYARAN!$A$4:$A$500,$B33,PEMBAYARAN!$B$4:$B$500,"Desember",PEMBAYARAN!$C$4:$C$500,"Minggu 1"),"")</f>
        <v>0</v>
      </c>
      <c r="D33" s="23">
        <f>IF(2&lt;=$D$2,SUMIFS(PEMBAYARAN!$E$4:$E$500,PEMBAYARAN!$A$4:$A$500,$B33,PEMBAYARAN!$B$4:$B$500,"Desember",PEMBAYARAN!$C$4:$C$500,"Minggu 2"),"")</f>
        <v>0</v>
      </c>
      <c r="E33" s="23">
        <f>IF(3&lt;=$D$2,SUMIFS(PEMBAYARAN!$E$4:$E$500,PEMBAYARAN!$A$4:$A$500,$B33,PEMBAYARAN!$B$4:$B$500,"Desember",PEMBAYARAN!$C$4:$C$500,"Minggu 3"),"")</f>
        <v>0</v>
      </c>
      <c r="F33" s="23">
        <f>IF(4&lt;=$D$2,SUMIFS(PEMBAYARAN!$E$4:$E$500,PEMBAYARAN!$A$4:$A$500,$B33,PEMBAYARAN!$B$4:$B$500,"Desember",PEMBAYARAN!$C$4:$C$500,"Minggu 4"),"")</f>
        <v>0</v>
      </c>
      <c r="G33" s="23" t="str">
        <f>IF(5&lt;=$D$2,SUMIFS(PEMBAYARAN!$E$4:$E$500,PEMBAYARAN!$A$4:$A$500,$B33,PEMBAYARAN!$B$4:$B$500,"Desember",PEMBAYARAN!$C$4:$C$500,"Minggu 5"),"")</f>
        <v/>
      </c>
      <c r="H33" s="23">
        <f t="shared" si="0"/>
        <v>20000</v>
      </c>
      <c r="I33" s="23">
        <f t="shared" si="1"/>
        <v>0</v>
      </c>
      <c r="J33" s="23">
        <f t="shared" si="2"/>
        <v>20000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-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IF(1&lt;=$D$2,SUMIFS(PEMBAYARAN!$E$4:$E$500,PEMBAYARAN!$A$4:$A$500,$B34,PEMBAYARAN!$B$4:$B$500,"Desember",PEMBAYARAN!$C$4:$C$500,"Minggu 1"),"")</f>
        <v>0</v>
      </c>
      <c r="D34" s="23">
        <f>IF(2&lt;=$D$2,SUMIFS(PEMBAYARAN!$E$4:$E$500,PEMBAYARAN!$A$4:$A$500,$B34,PEMBAYARAN!$B$4:$B$500,"Desember",PEMBAYARAN!$C$4:$C$500,"Minggu 2"),"")</f>
        <v>0</v>
      </c>
      <c r="E34" s="23">
        <f>IF(3&lt;=$D$2,SUMIFS(PEMBAYARAN!$E$4:$E$500,PEMBAYARAN!$A$4:$A$500,$B34,PEMBAYARAN!$B$4:$B$500,"Desember",PEMBAYARAN!$C$4:$C$500,"Minggu 3"),"")</f>
        <v>0</v>
      </c>
      <c r="F34" s="23">
        <f>IF(4&lt;=$D$2,SUMIFS(PEMBAYARAN!$E$4:$E$500,PEMBAYARAN!$A$4:$A$500,$B34,PEMBAYARAN!$B$4:$B$500,"Desember",PEMBAYARAN!$C$4:$C$500,"Minggu 4"),"")</f>
        <v>0</v>
      </c>
      <c r="G34" s="23" t="str">
        <f>IF(5&lt;=$D$2,SUMIFS(PEMBAYARAN!$E$4:$E$500,PEMBAYARAN!$A$4:$A$500,$B34,PEMBAYARAN!$B$4:$B$500,"Desember",PEMBAYARAN!$C$4:$C$500,"Minggu 5"),"")</f>
        <v/>
      </c>
      <c r="H34" s="23">
        <f t="shared" si="0"/>
        <v>20000</v>
      </c>
      <c r="I34" s="23">
        <f t="shared" si="1"/>
        <v>0</v>
      </c>
      <c r="J34" s="23">
        <f t="shared" si="2"/>
        <v>20000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-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IF(1&lt;=$D$2,SUMIFS(PEMBAYARAN!$E$4:$E$500,PEMBAYARAN!$A$4:$A$500,$B35,PEMBAYARAN!$B$4:$B$500,"Desember",PEMBAYARAN!$C$4:$C$500,"Minggu 1"),"")</f>
        <v>0</v>
      </c>
      <c r="D35" s="23">
        <f>IF(2&lt;=$D$2,SUMIFS(PEMBAYARAN!$E$4:$E$500,PEMBAYARAN!$A$4:$A$500,$B35,PEMBAYARAN!$B$4:$B$500,"Desember",PEMBAYARAN!$C$4:$C$500,"Minggu 2"),"")</f>
        <v>0</v>
      </c>
      <c r="E35" s="23">
        <f>IF(3&lt;=$D$2,SUMIFS(PEMBAYARAN!$E$4:$E$500,PEMBAYARAN!$A$4:$A$500,$B35,PEMBAYARAN!$B$4:$B$500,"Desember",PEMBAYARAN!$C$4:$C$500,"Minggu 3"),"")</f>
        <v>0</v>
      </c>
      <c r="F35" s="23">
        <f>IF(4&lt;=$D$2,SUMIFS(PEMBAYARAN!$E$4:$E$500,PEMBAYARAN!$A$4:$A$500,$B35,PEMBAYARAN!$B$4:$B$500,"Desember",PEMBAYARAN!$C$4:$C$500,"Minggu 4"),"")</f>
        <v>0</v>
      </c>
      <c r="G35" s="23" t="str">
        <f>IF(5&lt;=$D$2,SUMIFS(PEMBAYARAN!$E$4:$E$500,PEMBAYARAN!$A$4:$A$500,$B35,PEMBAYARAN!$B$4:$B$500,"Desember",PEMBAYARAN!$C$4:$C$500,"Minggu 5"),"")</f>
        <v/>
      </c>
      <c r="H35" s="23">
        <f t="shared" si="0"/>
        <v>20000</v>
      </c>
      <c r="I35" s="23">
        <f t="shared" si="1"/>
        <v>0</v>
      </c>
      <c r="J35" s="23">
        <f t="shared" si="2"/>
        <v>20000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-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IF(1&lt;=$D$2,SUMIFS(PEMBAYARAN!$E$4:$E$500,PEMBAYARAN!$A$4:$A$500,$B36,PEMBAYARAN!$B$4:$B$500,"Desember",PEMBAYARAN!$C$4:$C$500,"Minggu 1"),"")</f>
        <v>0</v>
      </c>
      <c r="D36" s="23">
        <f>IF(2&lt;=$D$2,SUMIFS(PEMBAYARAN!$E$4:$E$500,PEMBAYARAN!$A$4:$A$500,$B36,PEMBAYARAN!$B$4:$B$500,"Desember",PEMBAYARAN!$C$4:$C$500,"Minggu 2"),"")</f>
        <v>0</v>
      </c>
      <c r="E36" s="23">
        <f>IF(3&lt;=$D$2,SUMIFS(PEMBAYARAN!$E$4:$E$500,PEMBAYARAN!$A$4:$A$500,$B36,PEMBAYARAN!$B$4:$B$500,"Desember",PEMBAYARAN!$C$4:$C$500,"Minggu 3"),"")</f>
        <v>0</v>
      </c>
      <c r="F36" s="23">
        <f>IF(4&lt;=$D$2,SUMIFS(PEMBAYARAN!$E$4:$E$500,PEMBAYARAN!$A$4:$A$500,$B36,PEMBAYARAN!$B$4:$B$500,"Desember",PEMBAYARAN!$C$4:$C$500,"Minggu 4"),"")</f>
        <v>0</v>
      </c>
      <c r="G36" s="23" t="str">
        <f>IF(5&lt;=$D$2,SUMIFS(PEMBAYARAN!$E$4:$E$500,PEMBAYARAN!$A$4:$A$500,$B36,PEMBAYARAN!$B$4:$B$500,"Desember",PEMBAYARAN!$C$4:$C$500,"Minggu 5"),"")</f>
        <v/>
      </c>
      <c r="H36" s="23">
        <f t="shared" si="0"/>
        <v>20000</v>
      </c>
      <c r="I36" s="23">
        <f t="shared" si="1"/>
        <v>0</v>
      </c>
      <c r="J36" s="23">
        <f t="shared" si="2"/>
        <v>20000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-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IF(1&lt;=$D$2,SUMIFS(PEMBAYARAN!$E$4:$E$500,PEMBAYARAN!$A$4:$A$500,$B37,PEMBAYARAN!$B$4:$B$500,"Desember",PEMBAYARAN!$C$4:$C$500,"Minggu 1"),"")</f>
        <v>0</v>
      </c>
      <c r="D37" s="23">
        <f>IF(2&lt;=$D$2,SUMIFS(PEMBAYARAN!$E$4:$E$500,PEMBAYARAN!$A$4:$A$500,$B37,PEMBAYARAN!$B$4:$B$500,"Desember",PEMBAYARAN!$C$4:$C$500,"Minggu 2"),"")</f>
        <v>0</v>
      </c>
      <c r="E37" s="23">
        <f>IF(3&lt;=$D$2,SUMIFS(PEMBAYARAN!$E$4:$E$500,PEMBAYARAN!$A$4:$A$500,$B37,PEMBAYARAN!$B$4:$B$500,"Desember",PEMBAYARAN!$C$4:$C$500,"Minggu 3"),"")</f>
        <v>0</v>
      </c>
      <c r="F37" s="23">
        <f>IF(4&lt;=$D$2,SUMIFS(PEMBAYARAN!$E$4:$E$500,PEMBAYARAN!$A$4:$A$500,$B37,PEMBAYARAN!$B$4:$B$500,"Desember",PEMBAYARAN!$C$4:$C$500,"Minggu 4"),"")</f>
        <v>0</v>
      </c>
      <c r="G37" s="23" t="str">
        <f>IF(5&lt;=$D$2,SUMIFS(PEMBAYARAN!$E$4:$E$500,PEMBAYARAN!$A$4:$A$500,$B37,PEMBAYARAN!$B$4:$B$500,"Desember",PEMBAYARAN!$C$4:$C$500,"Minggu 5"),"")</f>
        <v/>
      </c>
      <c r="H37" s="23">
        <f t="shared" si="0"/>
        <v>20000</v>
      </c>
      <c r="I37" s="23">
        <f t="shared" si="1"/>
        <v>0</v>
      </c>
      <c r="J37" s="23">
        <f t="shared" si="2"/>
        <v>20000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-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IF(1&lt;=$D$2,SUMIFS(PEMBAYARAN!$E$4:$E$500,PEMBAYARAN!$A$4:$A$500,$B38,PEMBAYARAN!$B$4:$B$500,"Desember",PEMBAYARAN!$C$4:$C$500,"Minggu 1"),"")</f>
        <v>0</v>
      </c>
      <c r="D38" s="23">
        <f>IF(2&lt;=$D$2,SUMIFS(PEMBAYARAN!$E$4:$E$500,PEMBAYARAN!$A$4:$A$500,$B38,PEMBAYARAN!$B$4:$B$500,"Desember",PEMBAYARAN!$C$4:$C$500,"Minggu 2"),"")</f>
        <v>0</v>
      </c>
      <c r="E38" s="23">
        <f>IF(3&lt;=$D$2,SUMIFS(PEMBAYARAN!$E$4:$E$500,PEMBAYARAN!$A$4:$A$500,$B38,PEMBAYARAN!$B$4:$B$500,"Desember",PEMBAYARAN!$C$4:$C$500,"Minggu 3"),"")</f>
        <v>0</v>
      </c>
      <c r="F38" s="23">
        <f>IF(4&lt;=$D$2,SUMIFS(PEMBAYARAN!$E$4:$E$500,PEMBAYARAN!$A$4:$A$500,$B38,PEMBAYARAN!$B$4:$B$500,"Desember",PEMBAYARAN!$C$4:$C$500,"Minggu 4"),"")</f>
        <v>0</v>
      </c>
      <c r="G38" s="23" t="str">
        <f>IF(5&lt;=$D$2,SUMIFS(PEMBAYARAN!$E$4:$E$500,PEMBAYARAN!$A$4:$A$500,$B38,PEMBAYARAN!$B$4:$B$500,"Desember",PEMBAYARAN!$C$4:$C$500,"Minggu 5"),"")</f>
        <v/>
      </c>
      <c r="H38" s="23">
        <f t="shared" si="0"/>
        <v>20000</v>
      </c>
      <c r="I38" s="23">
        <f t="shared" si="1"/>
        <v>0</v>
      </c>
      <c r="J38" s="23">
        <f t="shared" si="2"/>
        <v>20000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-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IF(1&lt;=$D$2,SUMIFS(PEMBAYARAN!$E$4:$E$500,PEMBAYARAN!$A$4:$A$500,$B39,PEMBAYARAN!$B$4:$B$500,"Desember",PEMBAYARAN!$C$4:$C$500,"Minggu 1"),"")</f>
        <v>0</v>
      </c>
      <c r="D39" s="23">
        <f>IF(2&lt;=$D$2,SUMIFS(PEMBAYARAN!$E$4:$E$500,PEMBAYARAN!$A$4:$A$500,$B39,PEMBAYARAN!$B$4:$B$500,"Desember",PEMBAYARAN!$C$4:$C$500,"Minggu 2"),"")</f>
        <v>0</v>
      </c>
      <c r="E39" s="23">
        <f>IF(3&lt;=$D$2,SUMIFS(PEMBAYARAN!$E$4:$E$500,PEMBAYARAN!$A$4:$A$500,$B39,PEMBAYARAN!$B$4:$B$500,"Desember",PEMBAYARAN!$C$4:$C$500,"Minggu 3"),"")</f>
        <v>0</v>
      </c>
      <c r="F39" s="23">
        <f>IF(4&lt;=$D$2,SUMIFS(PEMBAYARAN!$E$4:$E$500,PEMBAYARAN!$A$4:$A$500,$B39,PEMBAYARAN!$B$4:$B$500,"Desember",PEMBAYARAN!$C$4:$C$500,"Minggu 4"),"")</f>
        <v>0</v>
      </c>
      <c r="G39" s="23" t="str">
        <f>IF(5&lt;=$D$2,SUMIFS(PEMBAYARAN!$E$4:$E$500,PEMBAYARAN!$A$4:$A$500,$B39,PEMBAYARAN!$B$4:$B$500,"Desember",PEMBAYARAN!$C$4:$C$500,"Minggu 5"),"")</f>
        <v/>
      </c>
      <c r="H39" s="23">
        <f t="shared" si="0"/>
        <v>20000</v>
      </c>
      <c r="I39" s="23">
        <f t="shared" si="1"/>
        <v>0</v>
      </c>
      <c r="J39" s="23">
        <f t="shared" si="2"/>
        <v>20000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-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IF(1&lt;=$D$2,SUMIFS(PEMBAYARAN!$E$4:$E$500,PEMBAYARAN!$A$4:$A$500,$B40,PEMBAYARAN!$B$4:$B$500,"Desember",PEMBAYARAN!$C$4:$C$500,"Minggu 1"),"")</f>
        <v>0</v>
      </c>
      <c r="D40" s="23">
        <f>IF(2&lt;=$D$2,SUMIFS(PEMBAYARAN!$E$4:$E$500,PEMBAYARAN!$A$4:$A$500,$B40,PEMBAYARAN!$B$4:$B$500,"Desember",PEMBAYARAN!$C$4:$C$500,"Minggu 2"),"")</f>
        <v>0</v>
      </c>
      <c r="E40" s="23">
        <f>IF(3&lt;=$D$2,SUMIFS(PEMBAYARAN!$E$4:$E$500,PEMBAYARAN!$A$4:$A$500,$B40,PEMBAYARAN!$B$4:$B$500,"Desember",PEMBAYARAN!$C$4:$C$500,"Minggu 3"),"")</f>
        <v>0</v>
      </c>
      <c r="F40" s="23">
        <f>IF(4&lt;=$D$2,SUMIFS(PEMBAYARAN!$E$4:$E$500,PEMBAYARAN!$A$4:$A$500,$B40,PEMBAYARAN!$B$4:$B$500,"Desember",PEMBAYARAN!$C$4:$C$500,"Minggu 4"),"")</f>
        <v>0</v>
      </c>
      <c r="G40" s="23" t="str">
        <f>IF(5&lt;=$D$2,SUMIFS(PEMBAYARAN!$E$4:$E$500,PEMBAYARAN!$A$4:$A$500,$B40,PEMBAYARAN!$B$4:$B$500,"Desember",PEMBAYARAN!$C$4:$C$500,"Minggu 5"),"")</f>
        <v/>
      </c>
      <c r="H40" s="23">
        <f t="shared" si="0"/>
        <v>20000</v>
      </c>
      <c r="I40" s="23">
        <f t="shared" si="1"/>
        <v>0</v>
      </c>
      <c r="J40" s="23">
        <f t="shared" si="2"/>
        <v>20000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-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IF(1&lt;=$D$2,SUMIFS(PEMBAYARAN!$E$4:$E$500,PEMBAYARAN!$A$4:$A$500,$B41,PEMBAYARAN!$B$4:$B$500,"Desember",PEMBAYARAN!$C$4:$C$500,"Minggu 1"),"")</f>
        <v>0</v>
      </c>
      <c r="D41" s="23">
        <f>IF(2&lt;=$D$2,SUMIFS(PEMBAYARAN!$E$4:$E$500,PEMBAYARAN!$A$4:$A$500,$B41,PEMBAYARAN!$B$4:$B$500,"Desember",PEMBAYARAN!$C$4:$C$500,"Minggu 2"),"")</f>
        <v>0</v>
      </c>
      <c r="E41" s="23">
        <f>IF(3&lt;=$D$2,SUMIFS(PEMBAYARAN!$E$4:$E$500,PEMBAYARAN!$A$4:$A$500,$B41,PEMBAYARAN!$B$4:$B$500,"Desember",PEMBAYARAN!$C$4:$C$500,"Minggu 3"),"")</f>
        <v>0</v>
      </c>
      <c r="F41" s="23">
        <f>IF(4&lt;=$D$2,SUMIFS(PEMBAYARAN!$E$4:$E$500,PEMBAYARAN!$A$4:$A$500,$B41,PEMBAYARAN!$B$4:$B$500,"Desember",PEMBAYARAN!$C$4:$C$500,"Minggu 4"),"")</f>
        <v>0</v>
      </c>
      <c r="G41" s="23" t="str">
        <f>IF(5&lt;=$D$2,SUMIFS(PEMBAYARAN!$E$4:$E$500,PEMBAYARAN!$A$4:$A$500,$B41,PEMBAYARAN!$B$4:$B$500,"Desember",PEMBAYARAN!$C$4:$C$500,"Minggu 5"),"")</f>
        <v/>
      </c>
      <c r="H41" s="23">
        <f t="shared" si="0"/>
        <v>20000</v>
      </c>
      <c r="I41" s="23">
        <f t="shared" si="1"/>
        <v>0</v>
      </c>
      <c r="J41" s="23">
        <f t="shared" si="2"/>
        <v>20000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-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IF(1&lt;=$D$2,SUMIFS(PEMBAYARAN!$E$4:$E$500,PEMBAYARAN!$A$4:$A$500,$B42,PEMBAYARAN!$B$4:$B$500,"Desember",PEMBAYARAN!$C$4:$C$500,"Minggu 1"),"")</f>
        <v>0</v>
      </c>
      <c r="D42" s="23">
        <f>IF(2&lt;=$D$2,SUMIFS(PEMBAYARAN!$E$4:$E$500,PEMBAYARAN!$A$4:$A$500,$B42,PEMBAYARAN!$B$4:$B$500,"Desember",PEMBAYARAN!$C$4:$C$500,"Minggu 2"),"")</f>
        <v>0</v>
      </c>
      <c r="E42" s="23">
        <f>IF(3&lt;=$D$2,SUMIFS(PEMBAYARAN!$E$4:$E$500,PEMBAYARAN!$A$4:$A$500,$B42,PEMBAYARAN!$B$4:$B$500,"Desember",PEMBAYARAN!$C$4:$C$500,"Minggu 3"),"")</f>
        <v>0</v>
      </c>
      <c r="F42" s="23">
        <f>IF(4&lt;=$D$2,SUMIFS(PEMBAYARAN!$E$4:$E$500,PEMBAYARAN!$A$4:$A$500,$B42,PEMBAYARAN!$B$4:$B$500,"Desember",PEMBAYARAN!$C$4:$C$500,"Minggu 4"),"")</f>
        <v>0</v>
      </c>
      <c r="G42" s="23" t="str">
        <f>IF(5&lt;=$D$2,SUMIFS(PEMBAYARAN!$E$4:$E$500,PEMBAYARAN!$A$4:$A$500,$B42,PEMBAYARAN!$B$4:$B$500,"Desember",PEMBAYARAN!$C$4:$C$500,"Minggu 5"),"")</f>
        <v/>
      </c>
      <c r="H42" s="23">
        <f t="shared" si="0"/>
        <v>20000</v>
      </c>
      <c r="I42" s="23">
        <f t="shared" si="1"/>
        <v>0</v>
      </c>
      <c r="J42" s="23">
        <f t="shared" si="2"/>
        <v>20000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-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IF(1&lt;=$D$2,SUMIFS(PEMBAYARAN!$E$4:$E$500,PEMBAYARAN!$A$4:$A$500,$B43,PEMBAYARAN!$B$4:$B$500,"Desember",PEMBAYARAN!$C$4:$C$500,"Minggu 1"),"")</f>
        <v>0</v>
      </c>
      <c r="D43" s="23">
        <f>IF(2&lt;=$D$2,SUMIFS(PEMBAYARAN!$E$4:$E$500,PEMBAYARAN!$A$4:$A$500,$B43,PEMBAYARAN!$B$4:$B$500,"Desember",PEMBAYARAN!$C$4:$C$500,"Minggu 2"),"")</f>
        <v>0</v>
      </c>
      <c r="E43" s="23">
        <f>IF(3&lt;=$D$2,SUMIFS(PEMBAYARAN!$E$4:$E$500,PEMBAYARAN!$A$4:$A$500,$B43,PEMBAYARAN!$B$4:$B$500,"Desember",PEMBAYARAN!$C$4:$C$500,"Minggu 3"),"")</f>
        <v>0</v>
      </c>
      <c r="F43" s="23">
        <f>IF(4&lt;=$D$2,SUMIFS(PEMBAYARAN!$E$4:$E$500,PEMBAYARAN!$A$4:$A$500,$B43,PEMBAYARAN!$B$4:$B$500,"Desember",PEMBAYARAN!$C$4:$C$500,"Minggu 4"),"")</f>
        <v>0</v>
      </c>
      <c r="G43" s="23" t="str">
        <f>IF(5&lt;=$D$2,SUMIFS(PEMBAYARAN!$E$4:$E$500,PEMBAYARAN!$A$4:$A$500,$B43,PEMBAYARAN!$B$4:$B$500,"Desember",PEMBAYARAN!$C$4:$C$500,"Minggu 5"),"")</f>
        <v/>
      </c>
      <c r="H43" s="23">
        <f t="shared" si="0"/>
        <v>20000</v>
      </c>
      <c r="I43" s="23">
        <f t="shared" si="1"/>
        <v>0</v>
      </c>
      <c r="J43" s="23">
        <f t="shared" si="2"/>
        <v>20000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-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IF(1&lt;=$D$2,SUMIFS(PEMBAYARAN!$E$4:$E$500,PEMBAYARAN!$A$4:$A$500,$B44,PEMBAYARAN!$B$4:$B$500,"Desember",PEMBAYARAN!$C$4:$C$500,"Minggu 1"),"")</f>
        <v>0</v>
      </c>
      <c r="D44" s="23">
        <f>IF(2&lt;=$D$2,SUMIFS(PEMBAYARAN!$E$4:$E$500,PEMBAYARAN!$A$4:$A$500,$B44,PEMBAYARAN!$B$4:$B$500,"Desember",PEMBAYARAN!$C$4:$C$500,"Minggu 2"),"")</f>
        <v>0</v>
      </c>
      <c r="E44" s="23">
        <f>IF(3&lt;=$D$2,SUMIFS(PEMBAYARAN!$E$4:$E$500,PEMBAYARAN!$A$4:$A$500,$B44,PEMBAYARAN!$B$4:$B$500,"Desember",PEMBAYARAN!$C$4:$C$500,"Minggu 3"),"")</f>
        <v>0</v>
      </c>
      <c r="F44" s="23">
        <f>IF(4&lt;=$D$2,SUMIFS(PEMBAYARAN!$E$4:$E$500,PEMBAYARAN!$A$4:$A$500,$B44,PEMBAYARAN!$B$4:$B$500,"Desember",PEMBAYARAN!$C$4:$C$500,"Minggu 4"),"")</f>
        <v>0</v>
      </c>
      <c r="G44" s="23" t="str">
        <f>IF(5&lt;=$D$2,SUMIFS(PEMBAYARAN!$E$4:$E$500,PEMBAYARAN!$A$4:$A$500,$B44,PEMBAYARAN!$B$4:$B$500,"Desember",PEMBAYARAN!$C$4:$C$500,"Minggu 5"),"")</f>
        <v/>
      </c>
      <c r="H44" s="23">
        <f t="shared" si="0"/>
        <v>20000</v>
      </c>
      <c r="I44" s="23">
        <f t="shared" si="1"/>
        <v>0</v>
      </c>
      <c r="J44" s="23">
        <f t="shared" si="2"/>
        <v>20000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-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IF(1&lt;=$D$2,SUMIFS(PEMBAYARAN!$E$4:$E$500,PEMBAYARAN!$A$4:$A$500,$B45,PEMBAYARAN!$B$4:$B$500,"Desember",PEMBAYARAN!$C$4:$C$500,"Minggu 1"),"")</f>
        <v>0</v>
      </c>
      <c r="D45" s="23">
        <f>IF(2&lt;=$D$2,SUMIFS(PEMBAYARAN!$E$4:$E$500,PEMBAYARAN!$A$4:$A$500,$B45,PEMBAYARAN!$B$4:$B$500,"Desember",PEMBAYARAN!$C$4:$C$500,"Minggu 2"),"")</f>
        <v>0</v>
      </c>
      <c r="E45" s="23">
        <f>IF(3&lt;=$D$2,SUMIFS(PEMBAYARAN!$E$4:$E$500,PEMBAYARAN!$A$4:$A$500,$B45,PEMBAYARAN!$B$4:$B$500,"Desember",PEMBAYARAN!$C$4:$C$500,"Minggu 3"),"")</f>
        <v>0</v>
      </c>
      <c r="F45" s="23">
        <f>IF(4&lt;=$D$2,SUMIFS(PEMBAYARAN!$E$4:$E$500,PEMBAYARAN!$A$4:$A$500,$B45,PEMBAYARAN!$B$4:$B$500,"Desember",PEMBAYARAN!$C$4:$C$500,"Minggu 4"),"")</f>
        <v>0</v>
      </c>
      <c r="G45" s="23" t="str">
        <f>IF(5&lt;=$D$2,SUMIFS(PEMBAYARAN!$E$4:$E$500,PEMBAYARAN!$A$4:$A$500,$B45,PEMBAYARAN!$B$4:$B$500,"Desember",PEMBAYARAN!$C$4:$C$500,"Minggu 5"),"")</f>
        <v/>
      </c>
      <c r="H45" s="23">
        <f t="shared" si="0"/>
        <v>20000</v>
      </c>
      <c r="I45" s="23">
        <f t="shared" si="1"/>
        <v>0</v>
      </c>
      <c r="J45" s="23">
        <f t="shared" si="2"/>
        <v>20000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-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820000</v>
      </c>
      <c r="I47" s="31">
        <f>SUM(I5:I45)</f>
        <v>0</v>
      </c>
      <c r="J47" s="31">
        <f>SUM(J5:J45)</f>
        <v>820000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8000000}"/>
  <mergeCells count="2">
    <mergeCell ref="A1:L1"/>
    <mergeCell ref="A2:C2"/>
  </mergeCells>
  <conditionalFormatting sqref="L5:L45">
    <cfRule type="expression" dxfId="23" priority="2">
      <formula>LEFT(L5,5)="LUNAS"</formula>
    </cfRule>
    <cfRule type="cellIs" dxfId="22" priority="3" operator="equal">
      <formula>"CICILAN"</formula>
    </cfRule>
    <cfRule type="cellIs" dxfId="21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4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IF(1&lt;=$D$2,SUMIFS(PEMBAYARAN!$E$4:$E$500,PEMBAYARAN!$A$4:$A$500,$B5,PEMBAYARAN!$B$4:$B$500,"Januari",PEMBAYARAN!$C$4:$C$500,"Minggu 1"),"")</f>
        <v>0</v>
      </c>
      <c r="D5" s="23">
        <f>IF(2&lt;=$D$2,SUMIFS(PEMBAYARAN!$E$4:$E$500,PEMBAYARAN!$A$4:$A$500,$B5,PEMBAYARAN!$B$4:$B$500,"Januari",PEMBAYARAN!$C$4:$C$500,"Minggu 2"),"")</f>
        <v>0</v>
      </c>
      <c r="E5" s="23">
        <f>IF(3&lt;=$D$2,SUMIFS(PEMBAYARAN!$E$4:$E$500,PEMBAYARAN!$A$4:$A$500,$B5,PEMBAYARAN!$B$4:$B$500,"Januari",PEMBAYARAN!$C$4:$C$500,"Minggu 3"),"")</f>
        <v>0</v>
      </c>
      <c r="F5" s="23">
        <f>IF(4&lt;=$D$2,SUMIFS(PEMBAYARAN!$E$4:$E$500,PEMBAYARAN!$A$4:$A$500,$B5,PEMBAYARAN!$B$4:$B$500,"Januari",PEMBAYARAN!$C$4:$C$500,"Minggu 4"),"")</f>
        <v>0</v>
      </c>
      <c r="G5" s="23" t="str">
        <f>IF(5&lt;=$D$2,SUMIFS(PEMBAYARAN!$E$4:$E$500,PEMBAYARAN!$A$4:$A$500,$B5,PEMBAYARAN!$B$4:$B$500,"Januari",PEMBAYARAN!$C$4:$C$500,"Minggu 5"),"")</f>
        <v/>
      </c>
      <c r="H5" s="23">
        <f t="shared" ref="H5:H45" si="0">MIN($D$2,5)*$F$2</f>
        <v>20000</v>
      </c>
      <c r="I5" s="23">
        <f t="shared" ref="I5:I45" si="1">SUM(C5:G5)</f>
        <v>0</v>
      </c>
      <c r="J5" s="23">
        <f t="shared" ref="J5:J45" si="2">MAX(H5-I5,0)</f>
        <v>20000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-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IF(1&lt;=$D$2,SUMIFS(PEMBAYARAN!$E$4:$E$500,PEMBAYARAN!$A$4:$A$500,$B6,PEMBAYARAN!$B$4:$B$500,"Januari",PEMBAYARAN!$C$4:$C$500,"Minggu 1"),"")</f>
        <v>0</v>
      </c>
      <c r="D6" s="23">
        <f>IF(2&lt;=$D$2,SUMIFS(PEMBAYARAN!$E$4:$E$500,PEMBAYARAN!$A$4:$A$500,$B6,PEMBAYARAN!$B$4:$B$500,"Januari",PEMBAYARAN!$C$4:$C$500,"Minggu 2"),"")</f>
        <v>0</v>
      </c>
      <c r="E6" s="23">
        <f>IF(3&lt;=$D$2,SUMIFS(PEMBAYARAN!$E$4:$E$500,PEMBAYARAN!$A$4:$A$500,$B6,PEMBAYARAN!$B$4:$B$500,"Januari",PEMBAYARAN!$C$4:$C$500,"Minggu 3"),"")</f>
        <v>0</v>
      </c>
      <c r="F6" s="23">
        <f>IF(4&lt;=$D$2,SUMIFS(PEMBAYARAN!$E$4:$E$500,PEMBAYARAN!$A$4:$A$500,$B6,PEMBAYARAN!$B$4:$B$500,"Januari",PEMBAYARAN!$C$4:$C$500,"Minggu 4"),"")</f>
        <v>0</v>
      </c>
      <c r="G6" s="23" t="str">
        <f>IF(5&lt;=$D$2,SUMIFS(PEMBAYARAN!$E$4:$E$500,PEMBAYARAN!$A$4:$A$500,$B6,PEMBAYARAN!$B$4:$B$500,"Januari",PEMBAYARAN!$C$4:$C$500,"Minggu 5"),"")</f>
        <v/>
      </c>
      <c r="H6" s="23">
        <f t="shared" si="0"/>
        <v>20000</v>
      </c>
      <c r="I6" s="23">
        <f t="shared" si="1"/>
        <v>0</v>
      </c>
      <c r="J6" s="23">
        <f t="shared" si="2"/>
        <v>20000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-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IF(1&lt;=$D$2,SUMIFS(PEMBAYARAN!$E$4:$E$500,PEMBAYARAN!$A$4:$A$500,$B7,PEMBAYARAN!$B$4:$B$500,"Januari",PEMBAYARAN!$C$4:$C$500,"Minggu 1"),"")</f>
        <v>0</v>
      </c>
      <c r="D7" s="23">
        <f>IF(2&lt;=$D$2,SUMIFS(PEMBAYARAN!$E$4:$E$500,PEMBAYARAN!$A$4:$A$500,$B7,PEMBAYARAN!$B$4:$B$500,"Januari",PEMBAYARAN!$C$4:$C$500,"Minggu 2"),"")</f>
        <v>0</v>
      </c>
      <c r="E7" s="23">
        <f>IF(3&lt;=$D$2,SUMIFS(PEMBAYARAN!$E$4:$E$500,PEMBAYARAN!$A$4:$A$500,$B7,PEMBAYARAN!$B$4:$B$500,"Januari",PEMBAYARAN!$C$4:$C$500,"Minggu 3"),"")</f>
        <v>0</v>
      </c>
      <c r="F7" s="23">
        <f>IF(4&lt;=$D$2,SUMIFS(PEMBAYARAN!$E$4:$E$500,PEMBAYARAN!$A$4:$A$500,$B7,PEMBAYARAN!$B$4:$B$500,"Januari",PEMBAYARAN!$C$4:$C$500,"Minggu 4"),"")</f>
        <v>0</v>
      </c>
      <c r="G7" s="23" t="str">
        <f>IF(5&lt;=$D$2,SUMIFS(PEMBAYARAN!$E$4:$E$500,PEMBAYARAN!$A$4:$A$500,$B7,PEMBAYARAN!$B$4:$B$500,"Januari",PEMBAYARAN!$C$4:$C$500,"Minggu 5"),"")</f>
        <v/>
      </c>
      <c r="H7" s="23">
        <f t="shared" si="0"/>
        <v>20000</v>
      </c>
      <c r="I7" s="23">
        <f t="shared" si="1"/>
        <v>0</v>
      </c>
      <c r="J7" s="23">
        <f t="shared" si="2"/>
        <v>20000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-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IF(1&lt;=$D$2,SUMIFS(PEMBAYARAN!$E$4:$E$500,PEMBAYARAN!$A$4:$A$500,$B8,PEMBAYARAN!$B$4:$B$500,"Januari",PEMBAYARAN!$C$4:$C$500,"Minggu 1"),"")</f>
        <v>0</v>
      </c>
      <c r="D8" s="23">
        <f>IF(2&lt;=$D$2,SUMIFS(PEMBAYARAN!$E$4:$E$500,PEMBAYARAN!$A$4:$A$500,$B8,PEMBAYARAN!$B$4:$B$500,"Januari",PEMBAYARAN!$C$4:$C$500,"Minggu 2"),"")</f>
        <v>0</v>
      </c>
      <c r="E8" s="23">
        <f>IF(3&lt;=$D$2,SUMIFS(PEMBAYARAN!$E$4:$E$500,PEMBAYARAN!$A$4:$A$500,$B8,PEMBAYARAN!$B$4:$B$500,"Januari",PEMBAYARAN!$C$4:$C$500,"Minggu 3"),"")</f>
        <v>0</v>
      </c>
      <c r="F8" s="23">
        <f>IF(4&lt;=$D$2,SUMIFS(PEMBAYARAN!$E$4:$E$500,PEMBAYARAN!$A$4:$A$500,$B8,PEMBAYARAN!$B$4:$B$500,"Januari",PEMBAYARAN!$C$4:$C$500,"Minggu 4"),"")</f>
        <v>0</v>
      </c>
      <c r="G8" s="23" t="str">
        <f>IF(5&lt;=$D$2,SUMIFS(PEMBAYARAN!$E$4:$E$500,PEMBAYARAN!$A$4:$A$500,$B8,PEMBAYARAN!$B$4:$B$500,"Januari",PEMBAYARAN!$C$4:$C$500,"Minggu 5"),"")</f>
        <v/>
      </c>
      <c r="H8" s="23">
        <f t="shared" si="0"/>
        <v>20000</v>
      </c>
      <c r="I8" s="23">
        <f t="shared" si="1"/>
        <v>0</v>
      </c>
      <c r="J8" s="23">
        <f t="shared" si="2"/>
        <v>20000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-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IF(1&lt;=$D$2,SUMIFS(PEMBAYARAN!$E$4:$E$500,PEMBAYARAN!$A$4:$A$500,$B9,PEMBAYARAN!$B$4:$B$500,"Januari",PEMBAYARAN!$C$4:$C$500,"Minggu 1"),"")</f>
        <v>0</v>
      </c>
      <c r="D9" s="23">
        <f>IF(2&lt;=$D$2,SUMIFS(PEMBAYARAN!$E$4:$E$500,PEMBAYARAN!$A$4:$A$500,$B9,PEMBAYARAN!$B$4:$B$500,"Januari",PEMBAYARAN!$C$4:$C$500,"Minggu 2"),"")</f>
        <v>0</v>
      </c>
      <c r="E9" s="23">
        <f>IF(3&lt;=$D$2,SUMIFS(PEMBAYARAN!$E$4:$E$500,PEMBAYARAN!$A$4:$A$500,$B9,PEMBAYARAN!$B$4:$B$500,"Januari",PEMBAYARAN!$C$4:$C$500,"Minggu 3"),"")</f>
        <v>0</v>
      </c>
      <c r="F9" s="23">
        <f>IF(4&lt;=$D$2,SUMIFS(PEMBAYARAN!$E$4:$E$500,PEMBAYARAN!$A$4:$A$500,$B9,PEMBAYARAN!$B$4:$B$500,"Januari",PEMBAYARAN!$C$4:$C$500,"Minggu 4"),"")</f>
        <v>0</v>
      </c>
      <c r="G9" s="23" t="str">
        <f>IF(5&lt;=$D$2,SUMIFS(PEMBAYARAN!$E$4:$E$500,PEMBAYARAN!$A$4:$A$500,$B9,PEMBAYARAN!$B$4:$B$500,"Januari",PEMBAYARAN!$C$4:$C$500,"Minggu 5"),"")</f>
        <v/>
      </c>
      <c r="H9" s="23">
        <f t="shared" si="0"/>
        <v>20000</v>
      </c>
      <c r="I9" s="23">
        <f t="shared" si="1"/>
        <v>0</v>
      </c>
      <c r="J9" s="23">
        <f t="shared" si="2"/>
        <v>20000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-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IF(1&lt;=$D$2,SUMIFS(PEMBAYARAN!$E$4:$E$500,PEMBAYARAN!$A$4:$A$500,$B10,PEMBAYARAN!$B$4:$B$500,"Januari",PEMBAYARAN!$C$4:$C$500,"Minggu 1"),"")</f>
        <v>0</v>
      </c>
      <c r="D10" s="23">
        <f>IF(2&lt;=$D$2,SUMIFS(PEMBAYARAN!$E$4:$E$500,PEMBAYARAN!$A$4:$A$500,$B10,PEMBAYARAN!$B$4:$B$500,"Januari",PEMBAYARAN!$C$4:$C$500,"Minggu 2"),"")</f>
        <v>0</v>
      </c>
      <c r="E10" s="23">
        <f>IF(3&lt;=$D$2,SUMIFS(PEMBAYARAN!$E$4:$E$500,PEMBAYARAN!$A$4:$A$500,$B10,PEMBAYARAN!$B$4:$B$500,"Januari",PEMBAYARAN!$C$4:$C$500,"Minggu 3"),"")</f>
        <v>0</v>
      </c>
      <c r="F10" s="23">
        <f>IF(4&lt;=$D$2,SUMIFS(PEMBAYARAN!$E$4:$E$500,PEMBAYARAN!$A$4:$A$500,$B10,PEMBAYARAN!$B$4:$B$500,"Januari",PEMBAYARAN!$C$4:$C$500,"Minggu 4"),"")</f>
        <v>0</v>
      </c>
      <c r="G10" s="23" t="str">
        <f>IF(5&lt;=$D$2,SUMIFS(PEMBAYARAN!$E$4:$E$500,PEMBAYARAN!$A$4:$A$500,$B10,PEMBAYARAN!$B$4:$B$500,"Januari",PEMBAYARAN!$C$4:$C$500,"Minggu 5"),"")</f>
        <v/>
      </c>
      <c r="H10" s="23">
        <f t="shared" si="0"/>
        <v>20000</v>
      </c>
      <c r="I10" s="23">
        <f t="shared" si="1"/>
        <v>0</v>
      </c>
      <c r="J10" s="23">
        <f t="shared" si="2"/>
        <v>20000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-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IF(1&lt;=$D$2,SUMIFS(PEMBAYARAN!$E$4:$E$500,PEMBAYARAN!$A$4:$A$500,$B11,PEMBAYARAN!$B$4:$B$500,"Januari",PEMBAYARAN!$C$4:$C$500,"Minggu 1"),"")</f>
        <v>0</v>
      </c>
      <c r="D11" s="23">
        <f>IF(2&lt;=$D$2,SUMIFS(PEMBAYARAN!$E$4:$E$500,PEMBAYARAN!$A$4:$A$500,$B11,PEMBAYARAN!$B$4:$B$500,"Januari",PEMBAYARAN!$C$4:$C$500,"Minggu 2"),"")</f>
        <v>0</v>
      </c>
      <c r="E11" s="23">
        <f>IF(3&lt;=$D$2,SUMIFS(PEMBAYARAN!$E$4:$E$500,PEMBAYARAN!$A$4:$A$500,$B11,PEMBAYARAN!$B$4:$B$500,"Januari",PEMBAYARAN!$C$4:$C$500,"Minggu 3"),"")</f>
        <v>0</v>
      </c>
      <c r="F11" s="23">
        <f>IF(4&lt;=$D$2,SUMIFS(PEMBAYARAN!$E$4:$E$500,PEMBAYARAN!$A$4:$A$500,$B11,PEMBAYARAN!$B$4:$B$500,"Januari",PEMBAYARAN!$C$4:$C$500,"Minggu 4"),"")</f>
        <v>0</v>
      </c>
      <c r="G11" s="23" t="str">
        <f>IF(5&lt;=$D$2,SUMIFS(PEMBAYARAN!$E$4:$E$500,PEMBAYARAN!$A$4:$A$500,$B11,PEMBAYARAN!$B$4:$B$500,"Januari",PEMBAYARAN!$C$4:$C$500,"Minggu 5"),"")</f>
        <v/>
      </c>
      <c r="H11" s="23">
        <f t="shared" si="0"/>
        <v>20000</v>
      </c>
      <c r="I11" s="23">
        <f t="shared" si="1"/>
        <v>0</v>
      </c>
      <c r="J11" s="23">
        <f t="shared" si="2"/>
        <v>20000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-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IF(1&lt;=$D$2,SUMIFS(PEMBAYARAN!$E$4:$E$500,PEMBAYARAN!$A$4:$A$500,$B12,PEMBAYARAN!$B$4:$B$500,"Januari",PEMBAYARAN!$C$4:$C$500,"Minggu 1"),"")</f>
        <v>0</v>
      </c>
      <c r="D12" s="23">
        <f>IF(2&lt;=$D$2,SUMIFS(PEMBAYARAN!$E$4:$E$500,PEMBAYARAN!$A$4:$A$500,$B12,PEMBAYARAN!$B$4:$B$500,"Januari",PEMBAYARAN!$C$4:$C$500,"Minggu 2"),"")</f>
        <v>0</v>
      </c>
      <c r="E12" s="23">
        <f>IF(3&lt;=$D$2,SUMIFS(PEMBAYARAN!$E$4:$E$500,PEMBAYARAN!$A$4:$A$500,$B12,PEMBAYARAN!$B$4:$B$500,"Januari",PEMBAYARAN!$C$4:$C$500,"Minggu 3"),"")</f>
        <v>0</v>
      </c>
      <c r="F12" s="23">
        <f>IF(4&lt;=$D$2,SUMIFS(PEMBAYARAN!$E$4:$E$500,PEMBAYARAN!$A$4:$A$500,$B12,PEMBAYARAN!$B$4:$B$500,"Januari",PEMBAYARAN!$C$4:$C$500,"Minggu 4"),"")</f>
        <v>0</v>
      </c>
      <c r="G12" s="23" t="str">
        <f>IF(5&lt;=$D$2,SUMIFS(PEMBAYARAN!$E$4:$E$500,PEMBAYARAN!$A$4:$A$500,$B12,PEMBAYARAN!$B$4:$B$500,"Januari",PEMBAYARAN!$C$4:$C$500,"Minggu 5"),"")</f>
        <v/>
      </c>
      <c r="H12" s="23">
        <f t="shared" si="0"/>
        <v>20000</v>
      </c>
      <c r="I12" s="23">
        <f t="shared" si="1"/>
        <v>0</v>
      </c>
      <c r="J12" s="23">
        <f t="shared" si="2"/>
        <v>20000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-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IF(1&lt;=$D$2,SUMIFS(PEMBAYARAN!$E$4:$E$500,PEMBAYARAN!$A$4:$A$500,$B13,PEMBAYARAN!$B$4:$B$500,"Januari",PEMBAYARAN!$C$4:$C$500,"Minggu 1"),"")</f>
        <v>0</v>
      </c>
      <c r="D13" s="23">
        <f>IF(2&lt;=$D$2,SUMIFS(PEMBAYARAN!$E$4:$E$500,PEMBAYARAN!$A$4:$A$500,$B13,PEMBAYARAN!$B$4:$B$500,"Januari",PEMBAYARAN!$C$4:$C$500,"Minggu 2"),"")</f>
        <v>0</v>
      </c>
      <c r="E13" s="23">
        <f>IF(3&lt;=$D$2,SUMIFS(PEMBAYARAN!$E$4:$E$500,PEMBAYARAN!$A$4:$A$500,$B13,PEMBAYARAN!$B$4:$B$500,"Januari",PEMBAYARAN!$C$4:$C$500,"Minggu 3"),"")</f>
        <v>0</v>
      </c>
      <c r="F13" s="23">
        <f>IF(4&lt;=$D$2,SUMIFS(PEMBAYARAN!$E$4:$E$500,PEMBAYARAN!$A$4:$A$500,$B13,PEMBAYARAN!$B$4:$B$500,"Januari",PEMBAYARAN!$C$4:$C$500,"Minggu 4"),"")</f>
        <v>0</v>
      </c>
      <c r="G13" s="23" t="str">
        <f>IF(5&lt;=$D$2,SUMIFS(PEMBAYARAN!$E$4:$E$500,PEMBAYARAN!$A$4:$A$500,$B13,PEMBAYARAN!$B$4:$B$500,"Januari",PEMBAYARAN!$C$4:$C$500,"Minggu 5"),"")</f>
        <v/>
      </c>
      <c r="H13" s="23">
        <f t="shared" si="0"/>
        <v>20000</v>
      </c>
      <c r="I13" s="23">
        <f t="shared" si="1"/>
        <v>0</v>
      </c>
      <c r="J13" s="23">
        <f t="shared" si="2"/>
        <v>20000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-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IF(1&lt;=$D$2,SUMIFS(PEMBAYARAN!$E$4:$E$500,PEMBAYARAN!$A$4:$A$500,$B14,PEMBAYARAN!$B$4:$B$500,"Januari",PEMBAYARAN!$C$4:$C$500,"Minggu 1"),"")</f>
        <v>0</v>
      </c>
      <c r="D14" s="23">
        <f>IF(2&lt;=$D$2,SUMIFS(PEMBAYARAN!$E$4:$E$500,PEMBAYARAN!$A$4:$A$500,$B14,PEMBAYARAN!$B$4:$B$500,"Januari",PEMBAYARAN!$C$4:$C$500,"Minggu 2"),"")</f>
        <v>0</v>
      </c>
      <c r="E14" s="23">
        <f>IF(3&lt;=$D$2,SUMIFS(PEMBAYARAN!$E$4:$E$500,PEMBAYARAN!$A$4:$A$500,$B14,PEMBAYARAN!$B$4:$B$500,"Januari",PEMBAYARAN!$C$4:$C$500,"Minggu 3"),"")</f>
        <v>0</v>
      </c>
      <c r="F14" s="23">
        <f>IF(4&lt;=$D$2,SUMIFS(PEMBAYARAN!$E$4:$E$500,PEMBAYARAN!$A$4:$A$500,$B14,PEMBAYARAN!$B$4:$B$500,"Januari",PEMBAYARAN!$C$4:$C$500,"Minggu 4"),"")</f>
        <v>0</v>
      </c>
      <c r="G14" s="23" t="str">
        <f>IF(5&lt;=$D$2,SUMIFS(PEMBAYARAN!$E$4:$E$500,PEMBAYARAN!$A$4:$A$500,$B14,PEMBAYARAN!$B$4:$B$500,"Januari",PEMBAYARAN!$C$4:$C$500,"Minggu 5"),"")</f>
        <v/>
      </c>
      <c r="H14" s="23">
        <f t="shared" si="0"/>
        <v>20000</v>
      </c>
      <c r="I14" s="23">
        <f t="shared" si="1"/>
        <v>0</v>
      </c>
      <c r="J14" s="23">
        <f t="shared" si="2"/>
        <v>20000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-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IF(1&lt;=$D$2,SUMIFS(PEMBAYARAN!$E$4:$E$500,PEMBAYARAN!$A$4:$A$500,$B15,PEMBAYARAN!$B$4:$B$500,"Januari",PEMBAYARAN!$C$4:$C$500,"Minggu 1"),"")</f>
        <v>0</v>
      </c>
      <c r="D15" s="23">
        <f>IF(2&lt;=$D$2,SUMIFS(PEMBAYARAN!$E$4:$E$500,PEMBAYARAN!$A$4:$A$500,$B15,PEMBAYARAN!$B$4:$B$500,"Januari",PEMBAYARAN!$C$4:$C$500,"Minggu 2"),"")</f>
        <v>0</v>
      </c>
      <c r="E15" s="23">
        <f>IF(3&lt;=$D$2,SUMIFS(PEMBAYARAN!$E$4:$E$500,PEMBAYARAN!$A$4:$A$500,$B15,PEMBAYARAN!$B$4:$B$500,"Januari",PEMBAYARAN!$C$4:$C$500,"Minggu 3"),"")</f>
        <v>0</v>
      </c>
      <c r="F15" s="23">
        <f>IF(4&lt;=$D$2,SUMIFS(PEMBAYARAN!$E$4:$E$500,PEMBAYARAN!$A$4:$A$500,$B15,PEMBAYARAN!$B$4:$B$500,"Januari",PEMBAYARAN!$C$4:$C$500,"Minggu 4"),"")</f>
        <v>0</v>
      </c>
      <c r="G15" s="23" t="str">
        <f>IF(5&lt;=$D$2,SUMIFS(PEMBAYARAN!$E$4:$E$500,PEMBAYARAN!$A$4:$A$500,$B15,PEMBAYARAN!$B$4:$B$500,"Januari",PEMBAYARAN!$C$4:$C$500,"Minggu 5"),"")</f>
        <v/>
      </c>
      <c r="H15" s="23">
        <f t="shared" si="0"/>
        <v>20000</v>
      </c>
      <c r="I15" s="23">
        <f t="shared" si="1"/>
        <v>0</v>
      </c>
      <c r="J15" s="23">
        <f t="shared" si="2"/>
        <v>20000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-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IF(1&lt;=$D$2,SUMIFS(PEMBAYARAN!$E$4:$E$500,PEMBAYARAN!$A$4:$A$500,$B16,PEMBAYARAN!$B$4:$B$500,"Januari",PEMBAYARAN!$C$4:$C$500,"Minggu 1"),"")</f>
        <v>0</v>
      </c>
      <c r="D16" s="23">
        <f>IF(2&lt;=$D$2,SUMIFS(PEMBAYARAN!$E$4:$E$500,PEMBAYARAN!$A$4:$A$500,$B16,PEMBAYARAN!$B$4:$B$500,"Januari",PEMBAYARAN!$C$4:$C$500,"Minggu 2"),"")</f>
        <v>0</v>
      </c>
      <c r="E16" s="23">
        <f>IF(3&lt;=$D$2,SUMIFS(PEMBAYARAN!$E$4:$E$500,PEMBAYARAN!$A$4:$A$500,$B16,PEMBAYARAN!$B$4:$B$500,"Januari",PEMBAYARAN!$C$4:$C$500,"Minggu 3"),"")</f>
        <v>0</v>
      </c>
      <c r="F16" s="23">
        <f>IF(4&lt;=$D$2,SUMIFS(PEMBAYARAN!$E$4:$E$500,PEMBAYARAN!$A$4:$A$500,$B16,PEMBAYARAN!$B$4:$B$500,"Januari",PEMBAYARAN!$C$4:$C$500,"Minggu 4"),"")</f>
        <v>0</v>
      </c>
      <c r="G16" s="23" t="str">
        <f>IF(5&lt;=$D$2,SUMIFS(PEMBAYARAN!$E$4:$E$500,PEMBAYARAN!$A$4:$A$500,$B16,PEMBAYARAN!$B$4:$B$500,"Januari",PEMBAYARAN!$C$4:$C$500,"Minggu 5"),"")</f>
        <v/>
      </c>
      <c r="H16" s="23">
        <f t="shared" si="0"/>
        <v>20000</v>
      </c>
      <c r="I16" s="23">
        <f t="shared" si="1"/>
        <v>0</v>
      </c>
      <c r="J16" s="23">
        <f t="shared" si="2"/>
        <v>20000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-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IF(1&lt;=$D$2,SUMIFS(PEMBAYARAN!$E$4:$E$500,PEMBAYARAN!$A$4:$A$500,$B17,PEMBAYARAN!$B$4:$B$500,"Januari",PEMBAYARAN!$C$4:$C$500,"Minggu 1"),"")</f>
        <v>0</v>
      </c>
      <c r="D17" s="23">
        <f>IF(2&lt;=$D$2,SUMIFS(PEMBAYARAN!$E$4:$E$500,PEMBAYARAN!$A$4:$A$500,$B17,PEMBAYARAN!$B$4:$B$500,"Januari",PEMBAYARAN!$C$4:$C$500,"Minggu 2"),"")</f>
        <v>0</v>
      </c>
      <c r="E17" s="23">
        <f>IF(3&lt;=$D$2,SUMIFS(PEMBAYARAN!$E$4:$E$500,PEMBAYARAN!$A$4:$A$500,$B17,PEMBAYARAN!$B$4:$B$500,"Januari",PEMBAYARAN!$C$4:$C$500,"Minggu 3"),"")</f>
        <v>0</v>
      </c>
      <c r="F17" s="23">
        <f>IF(4&lt;=$D$2,SUMIFS(PEMBAYARAN!$E$4:$E$500,PEMBAYARAN!$A$4:$A$500,$B17,PEMBAYARAN!$B$4:$B$500,"Januari",PEMBAYARAN!$C$4:$C$500,"Minggu 4"),"")</f>
        <v>0</v>
      </c>
      <c r="G17" s="23" t="str">
        <f>IF(5&lt;=$D$2,SUMIFS(PEMBAYARAN!$E$4:$E$500,PEMBAYARAN!$A$4:$A$500,$B17,PEMBAYARAN!$B$4:$B$500,"Januari",PEMBAYARAN!$C$4:$C$500,"Minggu 5"),"")</f>
        <v/>
      </c>
      <c r="H17" s="23">
        <f t="shared" si="0"/>
        <v>20000</v>
      </c>
      <c r="I17" s="23">
        <f t="shared" si="1"/>
        <v>0</v>
      </c>
      <c r="J17" s="23">
        <f t="shared" si="2"/>
        <v>20000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-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IF(1&lt;=$D$2,SUMIFS(PEMBAYARAN!$E$4:$E$500,PEMBAYARAN!$A$4:$A$500,$B18,PEMBAYARAN!$B$4:$B$500,"Januari",PEMBAYARAN!$C$4:$C$500,"Minggu 1"),"")</f>
        <v>0</v>
      </c>
      <c r="D18" s="23">
        <f>IF(2&lt;=$D$2,SUMIFS(PEMBAYARAN!$E$4:$E$500,PEMBAYARAN!$A$4:$A$500,$B18,PEMBAYARAN!$B$4:$B$500,"Januari",PEMBAYARAN!$C$4:$C$500,"Minggu 2"),"")</f>
        <v>0</v>
      </c>
      <c r="E18" s="23">
        <f>IF(3&lt;=$D$2,SUMIFS(PEMBAYARAN!$E$4:$E$500,PEMBAYARAN!$A$4:$A$500,$B18,PEMBAYARAN!$B$4:$B$500,"Januari",PEMBAYARAN!$C$4:$C$500,"Minggu 3"),"")</f>
        <v>0</v>
      </c>
      <c r="F18" s="23">
        <f>IF(4&lt;=$D$2,SUMIFS(PEMBAYARAN!$E$4:$E$500,PEMBAYARAN!$A$4:$A$500,$B18,PEMBAYARAN!$B$4:$B$500,"Januari",PEMBAYARAN!$C$4:$C$500,"Minggu 4"),"")</f>
        <v>0</v>
      </c>
      <c r="G18" s="23" t="str">
        <f>IF(5&lt;=$D$2,SUMIFS(PEMBAYARAN!$E$4:$E$500,PEMBAYARAN!$A$4:$A$500,$B18,PEMBAYARAN!$B$4:$B$500,"Januari",PEMBAYARAN!$C$4:$C$500,"Minggu 5"),"")</f>
        <v/>
      </c>
      <c r="H18" s="23">
        <f t="shared" si="0"/>
        <v>20000</v>
      </c>
      <c r="I18" s="23">
        <f t="shared" si="1"/>
        <v>0</v>
      </c>
      <c r="J18" s="23">
        <f t="shared" si="2"/>
        <v>20000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-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IF(1&lt;=$D$2,SUMIFS(PEMBAYARAN!$E$4:$E$500,PEMBAYARAN!$A$4:$A$500,$B19,PEMBAYARAN!$B$4:$B$500,"Januari",PEMBAYARAN!$C$4:$C$500,"Minggu 1"),"")</f>
        <v>0</v>
      </c>
      <c r="D19" s="23">
        <f>IF(2&lt;=$D$2,SUMIFS(PEMBAYARAN!$E$4:$E$500,PEMBAYARAN!$A$4:$A$500,$B19,PEMBAYARAN!$B$4:$B$500,"Januari",PEMBAYARAN!$C$4:$C$500,"Minggu 2"),"")</f>
        <v>0</v>
      </c>
      <c r="E19" s="23">
        <f>IF(3&lt;=$D$2,SUMIFS(PEMBAYARAN!$E$4:$E$500,PEMBAYARAN!$A$4:$A$500,$B19,PEMBAYARAN!$B$4:$B$500,"Januari",PEMBAYARAN!$C$4:$C$500,"Minggu 3"),"")</f>
        <v>0</v>
      </c>
      <c r="F19" s="23">
        <f>IF(4&lt;=$D$2,SUMIFS(PEMBAYARAN!$E$4:$E$500,PEMBAYARAN!$A$4:$A$500,$B19,PEMBAYARAN!$B$4:$B$500,"Januari",PEMBAYARAN!$C$4:$C$500,"Minggu 4"),"")</f>
        <v>0</v>
      </c>
      <c r="G19" s="23" t="str">
        <f>IF(5&lt;=$D$2,SUMIFS(PEMBAYARAN!$E$4:$E$500,PEMBAYARAN!$A$4:$A$500,$B19,PEMBAYARAN!$B$4:$B$500,"Januari",PEMBAYARAN!$C$4:$C$500,"Minggu 5"),"")</f>
        <v/>
      </c>
      <c r="H19" s="23">
        <f t="shared" si="0"/>
        <v>20000</v>
      </c>
      <c r="I19" s="23">
        <f t="shared" si="1"/>
        <v>0</v>
      </c>
      <c r="J19" s="23">
        <f t="shared" si="2"/>
        <v>20000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-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IF(1&lt;=$D$2,SUMIFS(PEMBAYARAN!$E$4:$E$500,PEMBAYARAN!$A$4:$A$500,$B20,PEMBAYARAN!$B$4:$B$500,"Januari",PEMBAYARAN!$C$4:$C$500,"Minggu 1"),"")</f>
        <v>0</v>
      </c>
      <c r="D20" s="23">
        <f>IF(2&lt;=$D$2,SUMIFS(PEMBAYARAN!$E$4:$E$500,PEMBAYARAN!$A$4:$A$500,$B20,PEMBAYARAN!$B$4:$B$500,"Januari",PEMBAYARAN!$C$4:$C$500,"Minggu 2"),"")</f>
        <v>0</v>
      </c>
      <c r="E20" s="23">
        <f>IF(3&lt;=$D$2,SUMIFS(PEMBAYARAN!$E$4:$E$500,PEMBAYARAN!$A$4:$A$500,$B20,PEMBAYARAN!$B$4:$B$500,"Januari",PEMBAYARAN!$C$4:$C$500,"Minggu 3"),"")</f>
        <v>0</v>
      </c>
      <c r="F20" s="23">
        <f>IF(4&lt;=$D$2,SUMIFS(PEMBAYARAN!$E$4:$E$500,PEMBAYARAN!$A$4:$A$500,$B20,PEMBAYARAN!$B$4:$B$500,"Januari",PEMBAYARAN!$C$4:$C$500,"Minggu 4"),"")</f>
        <v>0</v>
      </c>
      <c r="G20" s="23" t="str">
        <f>IF(5&lt;=$D$2,SUMIFS(PEMBAYARAN!$E$4:$E$500,PEMBAYARAN!$A$4:$A$500,$B20,PEMBAYARAN!$B$4:$B$500,"Januari",PEMBAYARAN!$C$4:$C$500,"Minggu 5"),"")</f>
        <v/>
      </c>
      <c r="H20" s="23">
        <f t="shared" si="0"/>
        <v>20000</v>
      </c>
      <c r="I20" s="23">
        <f t="shared" si="1"/>
        <v>0</v>
      </c>
      <c r="J20" s="23">
        <f t="shared" si="2"/>
        <v>20000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-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IF(1&lt;=$D$2,SUMIFS(PEMBAYARAN!$E$4:$E$500,PEMBAYARAN!$A$4:$A$500,$B21,PEMBAYARAN!$B$4:$B$500,"Januari",PEMBAYARAN!$C$4:$C$500,"Minggu 1"),"")</f>
        <v>0</v>
      </c>
      <c r="D21" s="23">
        <f>IF(2&lt;=$D$2,SUMIFS(PEMBAYARAN!$E$4:$E$500,PEMBAYARAN!$A$4:$A$500,$B21,PEMBAYARAN!$B$4:$B$500,"Januari",PEMBAYARAN!$C$4:$C$500,"Minggu 2"),"")</f>
        <v>0</v>
      </c>
      <c r="E21" s="23">
        <f>IF(3&lt;=$D$2,SUMIFS(PEMBAYARAN!$E$4:$E$500,PEMBAYARAN!$A$4:$A$500,$B21,PEMBAYARAN!$B$4:$B$500,"Januari",PEMBAYARAN!$C$4:$C$500,"Minggu 3"),"")</f>
        <v>0</v>
      </c>
      <c r="F21" s="23">
        <f>IF(4&lt;=$D$2,SUMIFS(PEMBAYARAN!$E$4:$E$500,PEMBAYARAN!$A$4:$A$500,$B21,PEMBAYARAN!$B$4:$B$500,"Januari",PEMBAYARAN!$C$4:$C$500,"Minggu 4"),"")</f>
        <v>0</v>
      </c>
      <c r="G21" s="23" t="str">
        <f>IF(5&lt;=$D$2,SUMIFS(PEMBAYARAN!$E$4:$E$500,PEMBAYARAN!$A$4:$A$500,$B21,PEMBAYARAN!$B$4:$B$500,"Januari",PEMBAYARAN!$C$4:$C$500,"Minggu 5"),"")</f>
        <v/>
      </c>
      <c r="H21" s="23">
        <f t="shared" si="0"/>
        <v>20000</v>
      </c>
      <c r="I21" s="23">
        <f t="shared" si="1"/>
        <v>0</v>
      </c>
      <c r="J21" s="23">
        <f t="shared" si="2"/>
        <v>20000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-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IF(1&lt;=$D$2,SUMIFS(PEMBAYARAN!$E$4:$E$500,PEMBAYARAN!$A$4:$A$500,$B22,PEMBAYARAN!$B$4:$B$500,"Januari",PEMBAYARAN!$C$4:$C$500,"Minggu 1"),"")</f>
        <v>0</v>
      </c>
      <c r="D22" s="23">
        <f>IF(2&lt;=$D$2,SUMIFS(PEMBAYARAN!$E$4:$E$500,PEMBAYARAN!$A$4:$A$500,$B22,PEMBAYARAN!$B$4:$B$500,"Januari",PEMBAYARAN!$C$4:$C$500,"Minggu 2"),"")</f>
        <v>0</v>
      </c>
      <c r="E22" s="23">
        <f>IF(3&lt;=$D$2,SUMIFS(PEMBAYARAN!$E$4:$E$500,PEMBAYARAN!$A$4:$A$500,$B22,PEMBAYARAN!$B$4:$B$500,"Januari",PEMBAYARAN!$C$4:$C$500,"Minggu 3"),"")</f>
        <v>0</v>
      </c>
      <c r="F22" s="23">
        <f>IF(4&lt;=$D$2,SUMIFS(PEMBAYARAN!$E$4:$E$500,PEMBAYARAN!$A$4:$A$500,$B22,PEMBAYARAN!$B$4:$B$500,"Januari",PEMBAYARAN!$C$4:$C$500,"Minggu 4"),"")</f>
        <v>0</v>
      </c>
      <c r="G22" s="23" t="str">
        <f>IF(5&lt;=$D$2,SUMIFS(PEMBAYARAN!$E$4:$E$500,PEMBAYARAN!$A$4:$A$500,$B22,PEMBAYARAN!$B$4:$B$500,"Januari",PEMBAYARAN!$C$4:$C$500,"Minggu 5"),"")</f>
        <v/>
      </c>
      <c r="H22" s="23">
        <f t="shared" si="0"/>
        <v>20000</v>
      </c>
      <c r="I22" s="23">
        <f t="shared" si="1"/>
        <v>0</v>
      </c>
      <c r="J22" s="23">
        <f t="shared" si="2"/>
        <v>20000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-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IF(1&lt;=$D$2,SUMIFS(PEMBAYARAN!$E$4:$E$500,PEMBAYARAN!$A$4:$A$500,$B23,PEMBAYARAN!$B$4:$B$500,"Januari",PEMBAYARAN!$C$4:$C$500,"Minggu 1"),"")</f>
        <v>0</v>
      </c>
      <c r="D23" s="23">
        <f>IF(2&lt;=$D$2,SUMIFS(PEMBAYARAN!$E$4:$E$500,PEMBAYARAN!$A$4:$A$500,$B23,PEMBAYARAN!$B$4:$B$500,"Januari",PEMBAYARAN!$C$4:$C$500,"Minggu 2"),"")</f>
        <v>0</v>
      </c>
      <c r="E23" s="23">
        <f>IF(3&lt;=$D$2,SUMIFS(PEMBAYARAN!$E$4:$E$500,PEMBAYARAN!$A$4:$A$500,$B23,PEMBAYARAN!$B$4:$B$500,"Januari",PEMBAYARAN!$C$4:$C$500,"Minggu 3"),"")</f>
        <v>0</v>
      </c>
      <c r="F23" s="23">
        <f>IF(4&lt;=$D$2,SUMIFS(PEMBAYARAN!$E$4:$E$500,PEMBAYARAN!$A$4:$A$500,$B23,PEMBAYARAN!$B$4:$B$500,"Januari",PEMBAYARAN!$C$4:$C$500,"Minggu 4"),"")</f>
        <v>0</v>
      </c>
      <c r="G23" s="23" t="str">
        <f>IF(5&lt;=$D$2,SUMIFS(PEMBAYARAN!$E$4:$E$500,PEMBAYARAN!$A$4:$A$500,$B23,PEMBAYARAN!$B$4:$B$500,"Januari",PEMBAYARAN!$C$4:$C$500,"Minggu 5"),"")</f>
        <v/>
      </c>
      <c r="H23" s="23">
        <f t="shared" si="0"/>
        <v>20000</v>
      </c>
      <c r="I23" s="23">
        <f t="shared" si="1"/>
        <v>0</v>
      </c>
      <c r="J23" s="23">
        <f t="shared" si="2"/>
        <v>20000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-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IF(1&lt;=$D$2,SUMIFS(PEMBAYARAN!$E$4:$E$500,PEMBAYARAN!$A$4:$A$500,$B24,PEMBAYARAN!$B$4:$B$500,"Januari",PEMBAYARAN!$C$4:$C$500,"Minggu 1"),"")</f>
        <v>0</v>
      </c>
      <c r="D24" s="23">
        <f>IF(2&lt;=$D$2,SUMIFS(PEMBAYARAN!$E$4:$E$500,PEMBAYARAN!$A$4:$A$500,$B24,PEMBAYARAN!$B$4:$B$500,"Januari",PEMBAYARAN!$C$4:$C$500,"Minggu 2"),"")</f>
        <v>0</v>
      </c>
      <c r="E24" s="23">
        <f>IF(3&lt;=$D$2,SUMIFS(PEMBAYARAN!$E$4:$E$500,PEMBAYARAN!$A$4:$A$500,$B24,PEMBAYARAN!$B$4:$B$500,"Januari",PEMBAYARAN!$C$4:$C$500,"Minggu 3"),"")</f>
        <v>0</v>
      </c>
      <c r="F24" s="23">
        <f>IF(4&lt;=$D$2,SUMIFS(PEMBAYARAN!$E$4:$E$500,PEMBAYARAN!$A$4:$A$500,$B24,PEMBAYARAN!$B$4:$B$500,"Januari",PEMBAYARAN!$C$4:$C$500,"Minggu 4"),"")</f>
        <v>0</v>
      </c>
      <c r="G24" s="23" t="str">
        <f>IF(5&lt;=$D$2,SUMIFS(PEMBAYARAN!$E$4:$E$500,PEMBAYARAN!$A$4:$A$500,$B24,PEMBAYARAN!$B$4:$B$500,"Januari",PEMBAYARAN!$C$4:$C$500,"Minggu 5"),"")</f>
        <v/>
      </c>
      <c r="H24" s="23">
        <f t="shared" si="0"/>
        <v>20000</v>
      </c>
      <c r="I24" s="23">
        <f t="shared" si="1"/>
        <v>0</v>
      </c>
      <c r="J24" s="23">
        <f t="shared" si="2"/>
        <v>20000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-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IF(1&lt;=$D$2,SUMIFS(PEMBAYARAN!$E$4:$E$500,PEMBAYARAN!$A$4:$A$500,$B25,PEMBAYARAN!$B$4:$B$500,"Januari",PEMBAYARAN!$C$4:$C$500,"Minggu 1"),"")</f>
        <v>0</v>
      </c>
      <c r="D25" s="23">
        <f>IF(2&lt;=$D$2,SUMIFS(PEMBAYARAN!$E$4:$E$500,PEMBAYARAN!$A$4:$A$500,$B25,PEMBAYARAN!$B$4:$B$500,"Januari",PEMBAYARAN!$C$4:$C$500,"Minggu 2"),"")</f>
        <v>0</v>
      </c>
      <c r="E25" s="23">
        <f>IF(3&lt;=$D$2,SUMIFS(PEMBAYARAN!$E$4:$E$500,PEMBAYARAN!$A$4:$A$500,$B25,PEMBAYARAN!$B$4:$B$500,"Januari",PEMBAYARAN!$C$4:$C$500,"Minggu 3"),"")</f>
        <v>0</v>
      </c>
      <c r="F25" s="23">
        <f>IF(4&lt;=$D$2,SUMIFS(PEMBAYARAN!$E$4:$E$500,PEMBAYARAN!$A$4:$A$500,$B25,PEMBAYARAN!$B$4:$B$500,"Januari",PEMBAYARAN!$C$4:$C$500,"Minggu 4"),"")</f>
        <v>0</v>
      </c>
      <c r="G25" s="23" t="str">
        <f>IF(5&lt;=$D$2,SUMIFS(PEMBAYARAN!$E$4:$E$500,PEMBAYARAN!$A$4:$A$500,$B25,PEMBAYARAN!$B$4:$B$500,"Januari",PEMBAYARAN!$C$4:$C$500,"Minggu 5"),"")</f>
        <v/>
      </c>
      <c r="H25" s="23">
        <f t="shared" si="0"/>
        <v>20000</v>
      </c>
      <c r="I25" s="23">
        <f t="shared" si="1"/>
        <v>0</v>
      </c>
      <c r="J25" s="23">
        <f t="shared" si="2"/>
        <v>20000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-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IF(1&lt;=$D$2,SUMIFS(PEMBAYARAN!$E$4:$E$500,PEMBAYARAN!$A$4:$A$500,$B26,PEMBAYARAN!$B$4:$B$500,"Januari",PEMBAYARAN!$C$4:$C$500,"Minggu 1"),"")</f>
        <v>0</v>
      </c>
      <c r="D26" s="23">
        <f>IF(2&lt;=$D$2,SUMIFS(PEMBAYARAN!$E$4:$E$500,PEMBAYARAN!$A$4:$A$500,$B26,PEMBAYARAN!$B$4:$B$500,"Januari",PEMBAYARAN!$C$4:$C$500,"Minggu 2"),"")</f>
        <v>0</v>
      </c>
      <c r="E26" s="23">
        <f>IF(3&lt;=$D$2,SUMIFS(PEMBAYARAN!$E$4:$E$500,PEMBAYARAN!$A$4:$A$500,$B26,PEMBAYARAN!$B$4:$B$500,"Januari",PEMBAYARAN!$C$4:$C$500,"Minggu 3"),"")</f>
        <v>0</v>
      </c>
      <c r="F26" s="23">
        <f>IF(4&lt;=$D$2,SUMIFS(PEMBAYARAN!$E$4:$E$500,PEMBAYARAN!$A$4:$A$500,$B26,PEMBAYARAN!$B$4:$B$500,"Januari",PEMBAYARAN!$C$4:$C$500,"Minggu 4"),"")</f>
        <v>0</v>
      </c>
      <c r="G26" s="23" t="str">
        <f>IF(5&lt;=$D$2,SUMIFS(PEMBAYARAN!$E$4:$E$500,PEMBAYARAN!$A$4:$A$500,$B26,PEMBAYARAN!$B$4:$B$500,"Januari",PEMBAYARAN!$C$4:$C$500,"Minggu 5"),"")</f>
        <v/>
      </c>
      <c r="H26" s="23">
        <f t="shared" si="0"/>
        <v>20000</v>
      </c>
      <c r="I26" s="23">
        <f t="shared" si="1"/>
        <v>0</v>
      </c>
      <c r="J26" s="23">
        <f t="shared" si="2"/>
        <v>20000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-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IF(1&lt;=$D$2,SUMIFS(PEMBAYARAN!$E$4:$E$500,PEMBAYARAN!$A$4:$A$500,$B27,PEMBAYARAN!$B$4:$B$500,"Januari",PEMBAYARAN!$C$4:$C$500,"Minggu 1"),"")</f>
        <v>0</v>
      </c>
      <c r="D27" s="23">
        <f>IF(2&lt;=$D$2,SUMIFS(PEMBAYARAN!$E$4:$E$500,PEMBAYARAN!$A$4:$A$500,$B27,PEMBAYARAN!$B$4:$B$500,"Januari",PEMBAYARAN!$C$4:$C$500,"Minggu 2"),"")</f>
        <v>0</v>
      </c>
      <c r="E27" s="23">
        <f>IF(3&lt;=$D$2,SUMIFS(PEMBAYARAN!$E$4:$E$500,PEMBAYARAN!$A$4:$A$500,$B27,PEMBAYARAN!$B$4:$B$500,"Januari",PEMBAYARAN!$C$4:$C$500,"Minggu 3"),"")</f>
        <v>0</v>
      </c>
      <c r="F27" s="23">
        <f>IF(4&lt;=$D$2,SUMIFS(PEMBAYARAN!$E$4:$E$500,PEMBAYARAN!$A$4:$A$500,$B27,PEMBAYARAN!$B$4:$B$500,"Januari",PEMBAYARAN!$C$4:$C$500,"Minggu 4"),"")</f>
        <v>0</v>
      </c>
      <c r="G27" s="23" t="str">
        <f>IF(5&lt;=$D$2,SUMIFS(PEMBAYARAN!$E$4:$E$500,PEMBAYARAN!$A$4:$A$500,$B27,PEMBAYARAN!$B$4:$B$500,"Januari",PEMBAYARAN!$C$4:$C$500,"Minggu 5"),"")</f>
        <v/>
      </c>
      <c r="H27" s="23">
        <f t="shared" si="0"/>
        <v>20000</v>
      </c>
      <c r="I27" s="23">
        <f t="shared" si="1"/>
        <v>0</v>
      </c>
      <c r="J27" s="23">
        <f t="shared" si="2"/>
        <v>20000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-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IF(1&lt;=$D$2,SUMIFS(PEMBAYARAN!$E$4:$E$500,PEMBAYARAN!$A$4:$A$500,$B28,PEMBAYARAN!$B$4:$B$500,"Januari",PEMBAYARAN!$C$4:$C$500,"Minggu 1"),"")</f>
        <v>0</v>
      </c>
      <c r="D28" s="23">
        <f>IF(2&lt;=$D$2,SUMIFS(PEMBAYARAN!$E$4:$E$500,PEMBAYARAN!$A$4:$A$500,$B28,PEMBAYARAN!$B$4:$B$500,"Januari",PEMBAYARAN!$C$4:$C$500,"Minggu 2"),"")</f>
        <v>0</v>
      </c>
      <c r="E28" s="23">
        <f>IF(3&lt;=$D$2,SUMIFS(PEMBAYARAN!$E$4:$E$500,PEMBAYARAN!$A$4:$A$500,$B28,PEMBAYARAN!$B$4:$B$500,"Januari",PEMBAYARAN!$C$4:$C$500,"Minggu 3"),"")</f>
        <v>0</v>
      </c>
      <c r="F28" s="23">
        <f>IF(4&lt;=$D$2,SUMIFS(PEMBAYARAN!$E$4:$E$500,PEMBAYARAN!$A$4:$A$500,$B28,PEMBAYARAN!$B$4:$B$500,"Januari",PEMBAYARAN!$C$4:$C$500,"Minggu 4"),"")</f>
        <v>0</v>
      </c>
      <c r="G28" s="23" t="str">
        <f>IF(5&lt;=$D$2,SUMIFS(PEMBAYARAN!$E$4:$E$500,PEMBAYARAN!$A$4:$A$500,$B28,PEMBAYARAN!$B$4:$B$500,"Januari",PEMBAYARAN!$C$4:$C$500,"Minggu 5"),"")</f>
        <v/>
      </c>
      <c r="H28" s="23">
        <f t="shared" si="0"/>
        <v>20000</v>
      </c>
      <c r="I28" s="23">
        <f t="shared" si="1"/>
        <v>0</v>
      </c>
      <c r="J28" s="23">
        <f t="shared" si="2"/>
        <v>20000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-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IF(1&lt;=$D$2,SUMIFS(PEMBAYARAN!$E$4:$E$500,PEMBAYARAN!$A$4:$A$500,$B29,PEMBAYARAN!$B$4:$B$500,"Januari",PEMBAYARAN!$C$4:$C$500,"Minggu 1"),"")</f>
        <v>0</v>
      </c>
      <c r="D29" s="23">
        <f>IF(2&lt;=$D$2,SUMIFS(PEMBAYARAN!$E$4:$E$500,PEMBAYARAN!$A$4:$A$500,$B29,PEMBAYARAN!$B$4:$B$500,"Januari",PEMBAYARAN!$C$4:$C$500,"Minggu 2"),"")</f>
        <v>0</v>
      </c>
      <c r="E29" s="23">
        <f>IF(3&lt;=$D$2,SUMIFS(PEMBAYARAN!$E$4:$E$500,PEMBAYARAN!$A$4:$A$500,$B29,PEMBAYARAN!$B$4:$B$500,"Januari",PEMBAYARAN!$C$4:$C$500,"Minggu 3"),"")</f>
        <v>0</v>
      </c>
      <c r="F29" s="23">
        <f>IF(4&lt;=$D$2,SUMIFS(PEMBAYARAN!$E$4:$E$500,PEMBAYARAN!$A$4:$A$500,$B29,PEMBAYARAN!$B$4:$B$500,"Januari",PEMBAYARAN!$C$4:$C$500,"Minggu 4"),"")</f>
        <v>0</v>
      </c>
      <c r="G29" s="23" t="str">
        <f>IF(5&lt;=$D$2,SUMIFS(PEMBAYARAN!$E$4:$E$500,PEMBAYARAN!$A$4:$A$500,$B29,PEMBAYARAN!$B$4:$B$500,"Januari",PEMBAYARAN!$C$4:$C$500,"Minggu 5"),"")</f>
        <v/>
      </c>
      <c r="H29" s="23">
        <f t="shared" si="0"/>
        <v>20000</v>
      </c>
      <c r="I29" s="23">
        <f t="shared" si="1"/>
        <v>0</v>
      </c>
      <c r="J29" s="23">
        <f t="shared" si="2"/>
        <v>20000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-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IF(1&lt;=$D$2,SUMIFS(PEMBAYARAN!$E$4:$E$500,PEMBAYARAN!$A$4:$A$500,$B30,PEMBAYARAN!$B$4:$B$500,"Januari",PEMBAYARAN!$C$4:$C$500,"Minggu 1"),"")</f>
        <v>0</v>
      </c>
      <c r="D30" s="23">
        <f>IF(2&lt;=$D$2,SUMIFS(PEMBAYARAN!$E$4:$E$500,PEMBAYARAN!$A$4:$A$500,$B30,PEMBAYARAN!$B$4:$B$500,"Januari",PEMBAYARAN!$C$4:$C$500,"Minggu 2"),"")</f>
        <v>0</v>
      </c>
      <c r="E30" s="23">
        <f>IF(3&lt;=$D$2,SUMIFS(PEMBAYARAN!$E$4:$E$500,PEMBAYARAN!$A$4:$A$500,$B30,PEMBAYARAN!$B$4:$B$500,"Januari",PEMBAYARAN!$C$4:$C$500,"Minggu 3"),"")</f>
        <v>0</v>
      </c>
      <c r="F30" s="23">
        <f>IF(4&lt;=$D$2,SUMIFS(PEMBAYARAN!$E$4:$E$500,PEMBAYARAN!$A$4:$A$500,$B30,PEMBAYARAN!$B$4:$B$500,"Januari",PEMBAYARAN!$C$4:$C$500,"Minggu 4"),"")</f>
        <v>0</v>
      </c>
      <c r="G30" s="23" t="str">
        <f>IF(5&lt;=$D$2,SUMIFS(PEMBAYARAN!$E$4:$E$500,PEMBAYARAN!$A$4:$A$500,$B30,PEMBAYARAN!$B$4:$B$500,"Januari",PEMBAYARAN!$C$4:$C$500,"Minggu 5"),"")</f>
        <v/>
      </c>
      <c r="H30" s="23">
        <f t="shared" si="0"/>
        <v>20000</v>
      </c>
      <c r="I30" s="23">
        <f t="shared" si="1"/>
        <v>0</v>
      </c>
      <c r="J30" s="23">
        <f t="shared" si="2"/>
        <v>20000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-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IF(1&lt;=$D$2,SUMIFS(PEMBAYARAN!$E$4:$E$500,PEMBAYARAN!$A$4:$A$500,$B31,PEMBAYARAN!$B$4:$B$500,"Januari",PEMBAYARAN!$C$4:$C$500,"Minggu 1"),"")</f>
        <v>0</v>
      </c>
      <c r="D31" s="23">
        <f>IF(2&lt;=$D$2,SUMIFS(PEMBAYARAN!$E$4:$E$500,PEMBAYARAN!$A$4:$A$500,$B31,PEMBAYARAN!$B$4:$B$500,"Januari",PEMBAYARAN!$C$4:$C$500,"Minggu 2"),"")</f>
        <v>0</v>
      </c>
      <c r="E31" s="23">
        <f>IF(3&lt;=$D$2,SUMIFS(PEMBAYARAN!$E$4:$E$500,PEMBAYARAN!$A$4:$A$500,$B31,PEMBAYARAN!$B$4:$B$500,"Januari",PEMBAYARAN!$C$4:$C$500,"Minggu 3"),"")</f>
        <v>0</v>
      </c>
      <c r="F31" s="23">
        <f>IF(4&lt;=$D$2,SUMIFS(PEMBAYARAN!$E$4:$E$500,PEMBAYARAN!$A$4:$A$500,$B31,PEMBAYARAN!$B$4:$B$500,"Januari",PEMBAYARAN!$C$4:$C$500,"Minggu 4"),"")</f>
        <v>0</v>
      </c>
      <c r="G31" s="23" t="str">
        <f>IF(5&lt;=$D$2,SUMIFS(PEMBAYARAN!$E$4:$E$500,PEMBAYARAN!$A$4:$A$500,$B31,PEMBAYARAN!$B$4:$B$500,"Januari",PEMBAYARAN!$C$4:$C$500,"Minggu 5"),"")</f>
        <v/>
      </c>
      <c r="H31" s="23">
        <f t="shared" si="0"/>
        <v>20000</v>
      </c>
      <c r="I31" s="23">
        <f t="shared" si="1"/>
        <v>0</v>
      </c>
      <c r="J31" s="23">
        <f t="shared" si="2"/>
        <v>20000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-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IF(1&lt;=$D$2,SUMIFS(PEMBAYARAN!$E$4:$E$500,PEMBAYARAN!$A$4:$A$500,$B32,PEMBAYARAN!$B$4:$B$500,"Januari",PEMBAYARAN!$C$4:$C$500,"Minggu 1"),"")</f>
        <v>0</v>
      </c>
      <c r="D32" s="23">
        <f>IF(2&lt;=$D$2,SUMIFS(PEMBAYARAN!$E$4:$E$500,PEMBAYARAN!$A$4:$A$500,$B32,PEMBAYARAN!$B$4:$B$500,"Januari",PEMBAYARAN!$C$4:$C$500,"Minggu 2"),"")</f>
        <v>0</v>
      </c>
      <c r="E32" s="23">
        <f>IF(3&lt;=$D$2,SUMIFS(PEMBAYARAN!$E$4:$E$500,PEMBAYARAN!$A$4:$A$500,$B32,PEMBAYARAN!$B$4:$B$500,"Januari",PEMBAYARAN!$C$4:$C$500,"Minggu 3"),"")</f>
        <v>0</v>
      </c>
      <c r="F32" s="23">
        <f>IF(4&lt;=$D$2,SUMIFS(PEMBAYARAN!$E$4:$E$500,PEMBAYARAN!$A$4:$A$500,$B32,PEMBAYARAN!$B$4:$B$500,"Januari",PEMBAYARAN!$C$4:$C$500,"Minggu 4"),"")</f>
        <v>0</v>
      </c>
      <c r="G32" s="23" t="str">
        <f>IF(5&lt;=$D$2,SUMIFS(PEMBAYARAN!$E$4:$E$500,PEMBAYARAN!$A$4:$A$500,$B32,PEMBAYARAN!$B$4:$B$500,"Januari",PEMBAYARAN!$C$4:$C$500,"Minggu 5"),"")</f>
        <v/>
      </c>
      <c r="H32" s="23">
        <f t="shared" si="0"/>
        <v>20000</v>
      </c>
      <c r="I32" s="23">
        <f t="shared" si="1"/>
        <v>0</v>
      </c>
      <c r="J32" s="23">
        <f t="shared" si="2"/>
        <v>20000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-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IF(1&lt;=$D$2,SUMIFS(PEMBAYARAN!$E$4:$E$500,PEMBAYARAN!$A$4:$A$500,$B33,PEMBAYARAN!$B$4:$B$500,"Januari",PEMBAYARAN!$C$4:$C$500,"Minggu 1"),"")</f>
        <v>0</v>
      </c>
      <c r="D33" s="23">
        <f>IF(2&lt;=$D$2,SUMIFS(PEMBAYARAN!$E$4:$E$500,PEMBAYARAN!$A$4:$A$500,$B33,PEMBAYARAN!$B$4:$B$500,"Januari",PEMBAYARAN!$C$4:$C$500,"Minggu 2"),"")</f>
        <v>0</v>
      </c>
      <c r="E33" s="23">
        <f>IF(3&lt;=$D$2,SUMIFS(PEMBAYARAN!$E$4:$E$500,PEMBAYARAN!$A$4:$A$500,$B33,PEMBAYARAN!$B$4:$B$500,"Januari",PEMBAYARAN!$C$4:$C$500,"Minggu 3"),"")</f>
        <v>0</v>
      </c>
      <c r="F33" s="23">
        <f>IF(4&lt;=$D$2,SUMIFS(PEMBAYARAN!$E$4:$E$500,PEMBAYARAN!$A$4:$A$500,$B33,PEMBAYARAN!$B$4:$B$500,"Januari",PEMBAYARAN!$C$4:$C$500,"Minggu 4"),"")</f>
        <v>0</v>
      </c>
      <c r="G33" s="23" t="str">
        <f>IF(5&lt;=$D$2,SUMIFS(PEMBAYARAN!$E$4:$E$500,PEMBAYARAN!$A$4:$A$500,$B33,PEMBAYARAN!$B$4:$B$500,"Januari",PEMBAYARAN!$C$4:$C$500,"Minggu 5"),"")</f>
        <v/>
      </c>
      <c r="H33" s="23">
        <f t="shared" si="0"/>
        <v>20000</v>
      </c>
      <c r="I33" s="23">
        <f t="shared" si="1"/>
        <v>0</v>
      </c>
      <c r="J33" s="23">
        <f t="shared" si="2"/>
        <v>20000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-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IF(1&lt;=$D$2,SUMIFS(PEMBAYARAN!$E$4:$E$500,PEMBAYARAN!$A$4:$A$500,$B34,PEMBAYARAN!$B$4:$B$500,"Januari",PEMBAYARAN!$C$4:$C$500,"Minggu 1"),"")</f>
        <v>0</v>
      </c>
      <c r="D34" s="23">
        <f>IF(2&lt;=$D$2,SUMIFS(PEMBAYARAN!$E$4:$E$500,PEMBAYARAN!$A$4:$A$500,$B34,PEMBAYARAN!$B$4:$B$500,"Januari",PEMBAYARAN!$C$4:$C$500,"Minggu 2"),"")</f>
        <v>0</v>
      </c>
      <c r="E34" s="23">
        <f>IF(3&lt;=$D$2,SUMIFS(PEMBAYARAN!$E$4:$E$500,PEMBAYARAN!$A$4:$A$500,$B34,PEMBAYARAN!$B$4:$B$500,"Januari",PEMBAYARAN!$C$4:$C$500,"Minggu 3"),"")</f>
        <v>0</v>
      </c>
      <c r="F34" s="23">
        <f>IF(4&lt;=$D$2,SUMIFS(PEMBAYARAN!$E$4:$E$500,PEMBAYARAN!$A$4:$A$500,$B34,PEMBAYARAN!$B$4:$B$500,"Januari",PEMBAYARAN!$C$4:$C$500,"Minggu 4"),"")</f>
        <v>0</v>
      </c>
      <c r="G34" s="23" t="str">
        <f>IF(5&lt;=$D$2,SUMIFS(PEMBAYARAN!$E$4:$E$500,PEMBAYARAN!$A$4:$A$500,$B34,PEMBAYARAN!$B$4:$B$500,"Januari",PEMBAYARAN!$C$4:$C$500,"Minggu 5"),"")</f>
        <v/>
      </c>
      <c r="H34" s="23">
        <f t="shared" si="0"/>
        <v>20000</v>
      </c>
      <c r="I34" s="23">
        <f t="shared" si="1"/>
        <v>0</v>
      </c>
      <c r="J34" s="23">
        <f t="shared" si="2"/>
        <v>20000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-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IF(1&lt;=$D$2,SUMIFS(PEMBAYARAN!$E$4:$E$500,PEMBAYARAN!$A$4:$A$500,$B35,PEMBAYARAN!$B$4:$B$500,"Januari",PEMBAYARAN!$C$4:$C$500,"Minggu 1"),"")</f>
        <v>0</v>
      </c>
      <c r="D35" s="23">
        <f>IF(2&lt;=$D$2,SUMIFS(PEMBAYARAN!$E$4:$E$500,PEMBAYARAN!$A$4:$A$500,$B35,PEMBAYARAN!$B$4:$B$500,"Januari",PEMBAYARAN!$C$4:$C$500,"Minggu 2"),"")</f>
        <v>0</v>
      </c>
      <c r="E35" s="23">
        <f>IF(3&lt;=$D$2,SUMIFS(PEMBAYARAN!$E$4:$E$500,PEMBAYARAN!$A$4:$A$500,$B35,PEMBAYARAN!$B$4:$B$500,"Januari",PEMBAYARAN!$C$4:$C$500,"Minggu 3"),"")</f>
        <v>0</v>
      </c>
      <c r="F35" s="23">
        <f>IF(4&lt;=$D$2,SUMIFS(PEMBAYARAN!$E$4:$E$500,PEMBAYARAN!$A$4:$A$500,$B35,PEMBAYARAN!$B$4:$B$500,"Januari",PEMBAYARAN!$C$4:$C$500,"Minggu 4"),"")</f>
        <v>0</v>
      </c>
      <c r="G35" s="23" t="str">
        <f>IF(5&lt;=$D$2,SUMIFS(PEMBAYARAN!$E$4:$E$500,PEMBAYARAN!$A$4:$A$500,$B35,PEMBAYARAN!$B$4:$B$500,"Januari",PEMBAYARAN!$C$4:$C$500,"Minggu 5"),"")</f>
        <v/>
      </c>
      <c r="H35" s="23">
        <f t="shared" si="0"/>
        <v>20000</v>
      </c>
      <c r="I35" s="23">
        <f t="shared" si="1"/>
        <v>0</v>
      </c>
      <c r="J35" s="23">
        <f t="shared" si="2"/>
        <v>20000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-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IF(1&lt;=$D$2,SUMIFS(PEMBAYARAN!$E$4:$E$500,PEMBAYARAN!$A$4:$A$500,$B36,PEMBAYARAN!$B$4:$B$500,"Januari",PEMBAYARAN!$C$4:$C$500,"Minggu 1"),"")</f>
        <v>0</v>
      </c>
      <c r="D36" s="23">
        <f>IF(2&lt;=$D$2,SUMIFS(PEMBAYARAN!$E$4:$E$500,PEMBAYARAN!$A$4:$A$500,$B36,PEMBAYARAN!$B$4:$B$500,"Januari",PEMBAYARAN!$C$4:$C$500,"Minggu 2"),"")</f>
        <v>0</v>
      </c>
      <c r="E36" s="23">
        <f>IF(3&lt;=$D$2,SUMIFS(PEMBAYARAN!$E$4:$E$500,PEMBAYARAN!$A$4:$A$500,$B36,PEMBAYARAN!$B$4:$B$500,"Januari",PEMBAYARAN!$C$4:$C$500,"Minggu 3"),"")</f>
        <v>0</v>
      </c>
      <c r="F36" s="23">
        <f>IF(4&lt;=$D$2,SUMIFS(PEMBAYARAN!$E$4:$E$500,PEMBAYARAN!$A$4:$A$500,$B36,PEMBAYARAN!$B$4:$B$500,"Januari",PEMBAYARAN!$C$4:$C$500,"Minggu 4"),"")</f>
        <v>0</v>
      </c>
      <c r="G36" s="23" t="str">
        <f>IF(5&lt;=$D$2,SUMIFS(PEMBAYARAN!$E$4:$E$500,PEMBAYARAN!$A$4:$A$500,$B36,PEMBAYARAN!$B$4:$B$500,"Januari",PEMBAYARAN!$C$4:$C$500,"Minggu 5"),"")</f>
        <v/>
      </c>
      <c r="H36" s="23">
        <f t="shared" si="0"/>
        <v>20000</v>
      </c>
      <c r="I36" s="23">
        <f t="shared" si="1"/>
        <v>0</v>
      </c>
      <c r="J36" s="23">
        <f t="shared" si="2"/>
        <v>20000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-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IF(1&lt;=$D$2,SUMIFS(PEMBAYARAN!$E$4:$E$500,PEMBAYARAN!$A$4:$A$500,$B37,PEMBAYARAN!$B$4:$B$500,"Januari",PEMBAYARAN!$C$4:$C$500,"Minggu 1"),"")</f>
        <v>0</v>
      </c>
      <c r="D37" s="23">
        <f>IF(2&lt;=$D$2,SUMIFS(PEMBAYARAN!$E$4:$E$500,PEMBAYARAN!$A$4:$A$500,$B37,PEMBAYARAN!$B$4:$B$500,"Januari",PEMBAYARAN!$C$4:$C$500,"Minggu 2"),"")</f>
        <v>0</v>
      </c>
      <c r="E37" s="23">
        <f>IF(3&lt;=$D$2,SUMIFS(PEMBAYARAN!$E$4:$E$500,PEMBAYARAN!$A$4:$A$500,$B37,PEMBAYARAN!$B$4:$B$500,"Januari",PEMBAYARAN!$C$4:$C$500,"Minggu 3"),"")</f>
        <v>0</v>
      </c>
      <c r="F37" s="23">
        <f>IF(4&lt;=$D$2,SUMIFS(PEMBAYARAN!$E$4:$E$500,PEMBAYARAN!$A$4:$A$500,$B37,PEMBAYARAN!$B$4:$B$500,"Januari",PEMBAYARAN!$C$4:$C$500,"Minggu 4"),"")</f>
        <v>0</v>
      </c>
      <c r="G37" s="23" t="str">
        <f>IF(5&lt;=$D$2,SUMIFS(PEMBAYARAN!$E$4:$E$500,PEMBAYARAN!$A$4:$A$500,$B37,PEMBAYARAN!$B$4:$B$500,"Januari",PEMBAYARAN!$C$4:$C$500,"Minggu 5"),"")</f>
        <v/>
      </c>
      <c r="H37" s="23">
        <f t="shared" si="0"/>
        <v>20000</v>
      </c>
      <c r="I37" s="23">
        <f t="shared" si="1"/>
        <v>0</v>
      </c>
      <c r="J37" s="23">
        <f t="shared" si="2"/>
        <v>20000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-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IF(1&lt;=$D$2,SUMIFS(PEMBAYARAN!$E$4:$E$500,PEMBAYARAN!$A$4:$A$500,$B38,PEMBAYARAN!$B$4:$B$500,"Januari",PEMBAYARAN!$C$4:$C$500,"Minggu 1"),"")</f>
        <v>0</v>
      </c>
      <c r="D38" s="23">
        <f>IF(2&lt;=$D$2,SUMIFS(PEMBAYARAN!$E$4:$E$500,PEMBAYARAN!$A$4:$A$500,$B38,PEMBAYARAN!$B$4:$B$500,"Januari",PEMBAYARAN!$C$4:$C$500,"Minggu 2"),"")</f>
        <v>0</v>
      </c>
      <c r="E38" s="23">
        <f>IF(3&lt;=$D$2,SUMIFS(PEMBAYARAN!$E$4:$E$500,PEMBAYARAN!$A$4:$A$500,$B38,PEMBAYARAN!$B$4:$B$500,"Januari",PEMBAYARAN!$C$4:$C$500,"Minggu 3"),"")</f>
        <v>0</v>
      </c>
      <c r="F38" s="23">
        <f>IF(4&lt;=$D$2,SUMIFS(PEMBAYARAN!$E$4:$E$500,PEMBAYARAN!$A$4:$A$500,$B38,PEMBAYARAN!$B$4:$B$500,"Januari",PEMBAYARAN!$C$4:$C$500,"Minggu 4"),"")</f>
        <v>0</v>
      </c>
      <c r="G38" s="23" t="str">
        <f>IF(5&lt;=$D$2,SUMIFS(PEMBAYARAN!$E$4:$E$500,PEMBAYARAN!$A$4:$A$500,$B38,PEMBAYARAN!$B$4:$B$500,"Januari",PEMBAYARAN!$C$4:$C$500,"Minggu 5"),"")</f>
        <v/>
      </c>
      <c r="H38" s="23">
        <f t="shared" si="0"/>
        <v>20000</v>
      </c>
      <c r="I38" s="23">
        <f t="shared" si="1"/>
        <v>0</v>
      </c>
      <c r="J38" s="23">
        <f t="shared" si="2"/>
        <v>20000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-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IF(1&lt;=$D$2,SUMIFS(PEMBAYARAN!$E$4:$E$500,PEMBAYARAN!$A$4:$A$500,$B39,PEMBAYARAN!$B$4:$B$500,"Januari",PEMBAYARAN!$C$4:$C$500,"Minggu 1"),"")</f>
        <v>0</v>
      </c>
      <c r="D39" s="23">
        <f>IF(2&lt;=$D$2,SUMIFS(PEMBAYARAN!$E$4:$E$500,PEMBAYARAN!$A$4:$A$500,$B39,PEMBAYARAN!$B$4:$B$500,"Januari",PEMBAYARAN!$C$4:$C$500,"Minggu 2"),"")</f>
        <v>0</v>
      </c>
      <c r="E39" s="23">
        <f>IF(3&lt;=$D$2,SUMIFS(PEMBAYARAN!$E$4:$E$500,PEMBAYARAN!$A$4:$A$500,$B39,PEMBAYARAN!$B$4:$B$500,"Januari",PEMBAYARAN!$C$4:$C$500,"Minggu 3"),"")</f>
        <v>0</v>
      </c>
      <c r="F39" s="23">
        <f>IF(4&lt;=$D$2,SUMIFS(PEMBAYARAN!$E$4:$E$500,PEMBAYARAN!$A$4:$A$500,$B39,PEMBAYARAN!$B$4:$B$500,"Januari",PEMBAYARAN!$C$4:$C$500,"Minggu 4"),"")</f>
        <v>0</v>
      </c>
      <c r="G39" s="23" t="str">
        <f>IF(5&lt;=$D$2,SUMIFS(PEMBAYARAN!$E$4:$E$500,PEMBAYARAN!$A$4:$A$500,$B39,PEMBAYARAN!$B$4:$B$500,"Januari",PEMBAYARAN!$C$4:$C$500,"Minggu 5"),"")</f>
        <v/>
      </c>
      <c r="H39" s="23">
        <f t="shared" si="0"/>
        <v>20000</v>
      </c>
      <c r="I39" s="23">
        <f t="shared" si="1"/>
        <v>0</v>
      </c>
      <c r="J39" s="23">
        <f t="shared" si="2"/>
        <v>20000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-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IF(1&lt;=$D$2,SUMIFS(PEMBAYARAN!$E$4:$E$500,PEMBAYARAN!$A$4:$A$500,$B40,PEMBAYARAN!$B$4:$B$500,"Januari",PEMBAYARAN!$C$4:$C$500,"Minggu 1"),"")</f>
        <v>0</v>
      </c>
      <c r="D40" s="23">
        <f>IF(2&lt;=$D$2,SUMIFS(PEMBAYARAN!$E$4:$E$500,PEMBAYARAN!$A$4:$A$500,$B40,PEMBAYARAN!$B$4:$B$500,"Januari",PEMBAYARAN!$C$4:$C$500,"Minggu 2"),"")</f>
        <v>0</v>
      </c>
      <c r="E40" s="23">
        <f>IF(3&lt;=$D$2,SUMIFS(PEMBAYARAN!$E$4:$E$500,PEMBAYARAN!$A$4:$A$500,$B40,PEMBAYARAN!$B$4:$B$500,"Januari",PEMBAYARAN!$C$4:$C$500,"Minggu 3"),"")</f>
        <v>0</v>
      </c>
      <c r="F40" s="23">
        <f>IF(4&lt;=$D$2,SUMIFS(PEMBAYARAN!$E$4:$E$500,PEMBAYARAN!$A$4:$A$500,$B40,PEMBAYARAN!$B$4:$B$500,"Januari",PEMBAYARAN!$C$4:$C$500,"Minggu 4"),"")</f>
        <v>0</v>
      </c>
      <c r="G40" s="23" t="str">
        <f>IF(5&lt;=$D$2,SUMIFS(PEMBAYARAN!$E$4:$E$500,PEMBAYARAN!$A$4:$A$500,$B40,PEMBAYARAN!$B$4:$B$500,"Januari",PEMBAYARAN!$C$4:$C$500,"Minggu 5"),"")</f>
        <v/>
      </c>
      <c r="H40" s="23">
        <f t="shared" si="0"/>
        <v>20000</v>
      </c>
      <c r="I40" s="23">
        <f t="shared" si="1"/>
        <v>0</v>
      </c>
      <c r="J40" s="23">
        <f t="shared" si="2"/>
        <v>20000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-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IF(1&lt;=$D$2,SUMIFS(PEMBAYARAN!$E$4:$E$500,PEMBAYARAN!$A$4:$A$500,$B41,PEMBAYARAN!$B$4:$B$500,"Januari",PEMBAYARAN!$C$4:$C$500,"Minggu 1"),"")</f>
        <v>0</v>
      </c>
      <c r="D41" s="23">
        <f>IF(2&lt;=$D$2,SUMIFS(PEMBAYARAN!$E$4:$E$500,PEMBAYARAN!$A$4:$A$500,$B41,PEMBAYARAN!$B$4:$B$500,"Januari",PEMBAYARAN!$C$4:$C$500,"Minggu 2"),"")</f>
        <v>0</v>
      </c>
      <c r="E41" s="23">
        <f>IF(3&lt;=$D$2,SUMIFS(PEMBAYARAN!$E$4:$E$500,PEMBAYARAN!$A$4:$A$500,$B41,PEMBAYARAN!$B$4:$B$500,"Januari",PEMBAYARAN!$C$4:$C$500,"Minggu 3"),"")</f>
        <v>0</v>
      </c>
      <c r="F41" s="23">
        <f>IF(4&lt;=$D$2,SUMIFS(PEMBAYARAN!$E$4:$E$500,PEMBAYARAN!$A$4:$A$500,$B41,PEMBAYARAN!$B$4:$B$500,"Januari",PEMBAYARAN!$C$4:$C$500,"Minggu 4"),"")</f>
        <v>0</v>
      </c>
      <c r="G41" s="23" t="str">
        <f>IF(5&lt;=$D$2,SUMIFS(PEMBAYARAN!$E$4:$E$500,PEMBAYARAN!$A$4:$A$500,$B41,PEMBAYARAN!$B$4:$B$500,"Januari",PEMBAYARAN!$C$4:$C$500,"Minggu 5"),"")</f>
        <v/>
      </c>
      <c r="H41" s="23">
        <f t="shared" si="0"/>
        <v>20000</v>
      </c>
      <c r="I41" s="23">
        <f t="shared" si="1"/>
        <v>0</v>
      </c>
      <c r="J41" s="23">
        <f t="shared" si="2"/>
        <v>20000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-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IF(1&lt;=$D$2,SUMIFS(PEMBAYARAN!$E$4:$E$500,PEMBAYARAN!$A$4:$A$500,$B42,PEMBAYARAN!$B$4:$B$500,"Januari",PEMBAYARAN!$C$4:$C$500,"Minggu 1"),"")</f>
        <v>0</v>
      </c>
      <c r="D42" s="23">
        <f>IF(2&lt;=$D$2,SUMIFS(PEMBAYARAN!$E$4:$E$500,PEMBAYARAN!$A$4:$A$500,$B42,PEMBAYARAN!$B$4:$B$500,"Januari",PEMBAYARAN!$C$4:$C$500,"Minggu 2"),"")</f>
        <v>0</v>
      </c>
      <c r="E42" s="23">
        <f>IF(3&lt;=$D$2,SUMIFS(PEMBAYARAN!$E$4:$E$500,PEMBAYARAN!$A$4:$A$500,$B42,PEMBAYARAN!$B$4:$B$500,"Januari",PEMBAYARAN!$C$4:$C$500,"Minggu 3"),"")</f>
        <v>0</v>
      </c>
      <c r="F42" s="23">
        <f>IF(4&lt;=$D$2,SUMIFS(PEMBAYARAN!$E$4:$E$500,PEMBAYARAN!$A$4:$A$500,$B42,PEMBAYARAN!$B$4:$B$500,"Januari",PEMBAYARAN!$C$4:$C$500,"Minggu 4"),"")</f>
        <v>0</v>
      </c>
      <c r="G42" s="23" t="str">
        <f>IF(5&lt;=$D$2,SUMIFS(PEMBAYARAN!$E$4:$E$500,PEMBAYARAN!$A$4:$A$500,$B42,PEMBAYARAN!$B$4:$B$500,"Januari",PEMBAYARAN!$C$4:$C$500,"Minggu 5"),"")</f>
        <v/>
      </c>
      <c r="H42" s="23">
        <f t="shared" si="0"/>
        <v>20000</v>
      </c>
      <c r="I42" s="23">
        <f t="shared" si="1"/>
        <v>0</v>
      </c>
      <c r="J42" s="23">
        <f t="shared" si="2"/>
        <v>20000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-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IF(1&lt;=$D$2,SUMIFS(PEMBAYARAN!$E$4:$E$500,PEMBAYARAN!$A$4:$A$500,$B43,PEMBAYARAN!$B$4:$B$500,"Januari",PEMBAYARAN!$C$4:$C$500,"Minggu 1"),"")</f>
        <v>0</v>
      </c>
      <c r="D43" s="23">
        <f>IF(2&lt;=$D$2,SUMIFS(PEMBAYARAN!$E$4:$E$500,PEMBAYARAN!$A$4:$A$500,$B43,PEMBAYARAN!$B$4:$B$500,"Januari",PEMBAYARAN!$C$4:$C$500,"Minggu 2"),"")</f>
        <v>0</v>
      </c>
      <c r="E43" s="23">
        <f>IF(3&lt;=$D$2,SUMIFS(PEMBAYARAN!$E$4:$E$500,PEMBAYARAN!$A$4:$A$500,$B43,PEMBAYARAN!$B$4:$B$500,"Januari",PEMBAYARAN!$C$4:$C$500,"Minggu 3"),"")</f>
        <v>0</v>
      </c>
      <c r="F43" s="23">
        <f>IF(4&lt;=$D$2,SUMIFS(PEMBAYARAN!$E$4:$E$500,PEMBAYARAN!$A$4:$A$500,$B43,PEMBAYARAN!$B$4:$B$500,"Januari",PEMBAYARAN!$C$4:$C$500,"Minggu 4"),"")</f>
        <v>0</v>
      </c>
      <c r="G43" s="23" t="str">
        <f>IF(5&lt;=$D$2,SUMIFS(PEMBAYARAN!$E$4:$E$500,PEMBAYARAN!$A$4:$A$500,$B43,PEMBAYARAN!$B$4:$B$500,"Januari",PEMBAYARAN!$C$4:$C$500,"Minggu 5"),"")</f>
        <v/>
      </c>
      <c r="H43" s="23">
        <f t="shared" si="0"/>
        <v>20000</v>
      </c>
      <c r="I43" s="23">
        <f t="shared" si="1"/>
        <v>0</v>
      </c>
      <c r="J43" s="23">
        <f t="shared" si="2"/>
        <v>20000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-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IF(1&lt;=$D$2,SUMIFS(PEMBAYARAN!$E$4:$E$500,PEMBAYARAN!$A$4:$A$500,$B44,PEMBAYARAN!$B$4:$B$500,"Januari",PEMBAYARAN!$C$4:$C$500,"Minggu 1"),"")</f>
        <v>0</v>
      </c>
      <c r="D44" s="23">
        <f>IF(2&lt;=$D$2,SUMIFS(PEMBAYARAN!$E$4:$E$500,PEMBAYARAN!$A$4:$A$500,$B44,PEMBAYARAN!$B$4:$B$500,"Januari",PEMBAYARAN!$C$4:$C$500,"Minggu 2"),"")</f>
        <v>0</v>
      </c>
      <c r="E44" s="23">
        <f>IF(3&lt;=$D$2,SUMIFS(PEMBAYARAN!$E$4:$E$500,PEMBAYARAN!$A$4:$A$500,$B44,PEMBAYARAN!$B$4:$B$500,"Januari",PEMBAYARAN!$C$4:$C$500,"Minggu 3"),"")</f>
        <v>0</v>
      </c>
      <c r="F44" s="23">
        <f>IF(4&lt;=$D$2,SUMIFS(PEMBAYARAN!$E$4:$E$500,PEMBAYARAN!$A$4:$A$500,$B44,PEMBAYARAN!$B$4:$B$500,"Januari",PEMBAYARAN!$C$4:$C$500,"Minggu 4"),"")</f>
        <v>0</v>
      </c>
      <c r="G44" s="23" t="str">
        <f>IF(5&lt;=$D$2,SUMIFS(PEMBAYARAN!$E$4:$E$500,PEMBAYARAN!$A$4:$A$500,$B44,PEMBAYARAN!$B$4:$B$500,"Januari",PEMBAYARAN!$C$4:$C$500,"Minggu 5"),"")</f>
        <v/>
      </c>
      <c r="H44" s="23">
        <f t="shared" si="0"/>
        <v>20000</v>
      </c>
      <c r="I44" s="23">
        <f t="shared" si="1"/>
        <v>0</v>
      </c>
      <c r="J44" s="23">
        <f t="shared" si="2"/>
        <v>20000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-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IF(1&lt;=$D$2,SUMIFS(PEMBAYARAN!$E$4:$E$500,PEMBAYARAN!$A$4:$A$500,$B45,PEMBAYARAN!$B$4:$B$500,"Januari",PEMBAYARAN!$C$4:$C$500,"Minggu 1"),"")</f>
        <v>0</v>
      </c>
      <c r="D45" s="23">
        <f>IF(2&lt;=$D$2,SUMIFS(PEMBAYARAN!$E$4:$E$500,PEMBAYARAN!$A$4:$A$500,$B45,PEMBAYARAN!$B$4:$B$500,"Januari",PEMBAYARAN!$C$4:$C$500,"Minggu 2"),"")</f>
        <v>0</v>
      </c>
      <c r="E45" s="23">
        <f>IF(3&lt;=$D$2,SUMIFS(PEMBAYARAN!$E$4:$E$500,PEMBAYARAN!$A$4:$A$500,$B45,PEMBAYARAN!$B$4:$B$500,"Januari",PEMBAYARAN!$C$4:$C$500,"Minggu 3"),"")</f>
        <v>0</v>
      </c>
      <c r="F45" s="23">
        <f>IF(4&lt;=$D$2,SUMIFS(PEMBAYARAN!$E$4:$E$500,PEMBAYARAN!$A$4:$A$500,$B45,PEMBAYARAN!$B$4:$B$500,"Januari",PEMBAYARAN!$C$4:$C$500,"Minggu 4"),"")</f>
        <v>0</v>
      </c>
      <c r="G45" s="23" t="str">
        <f>IF(5&lt;=$D$2,SUMIFS(PEMBAYARAN!$E$4:$E$500,PEMBAYARAN!$A$4:$A$500,$B45,PEMBAYARAN!$B$4:$B$500,"Januari",PEMBAYARAN!$C$4:$C$500,"Minggu 5"),"")</f>
        <v/>
      </c>
      <c r="H45" s="23">
        <f t="shared" si="0"/>
        <v>20000</v>
      </c>
      <c r="I45" s="23">
        <f t="shared" si="1"/>
        <v>0</v>
      </c>
      <c r="J45" s="23">
        <f t="shared" si="2"/>
        <v>20000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-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820000</v>
      </c>
      <c r="I47" s="31">
        <f>SUM(I5:I45)</f>
        <v>0</v>
      </c>
      <c r="J47" s="31">
        <f>SUM(J5:J45)</f>
        <v>820000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9000000}"/>
  <mergeCells count="2">
    <mergeCell ref="A1:L1"/>
    <mergeCell ref="A2:C2"/>
  </mergeCells>
  <conditionalFormatting sqref="L5:L45">
    <cfRule type="expression" dxfId="20" priority="2">
      <formula>LEFT(L5,5)="LUNAS"</formula>
    </cfRule>
    <cfRule type="cellIs" dxfId="19" priority="3" operator="equal">
      <formula>"CICILAN"</formula>
    </cfRule>
    <cfRule type="cellIs" dxfId="18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4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IF(1&lt;=$D$2,SUMIFS(PEMBAYARAN!$E$4:$E$500,PEMBAYARAN!$A$4:$A$500,$B5,PEMBAYARAN!$B$4:$B$500,"Februari",PEMBAYARAN!$C$4:$C$500,"Minggu 1"),"")</f>
        <v>0</v>
      </c>
      <c r="D5" s="23">
        <f>IF(2&lt;=$D$2,SUMIFS(PEMBAYARAN!$E$4:$E$500,PEMBAYARAN!$A$4:$A$500,$B5,PEMBAYARAN!$B$4:$B$500,"Februari",PEMBAYARAN!$C$4:$C$500,"Minggu 2"),"")</f>
        <v>0</v>
      </c>
      <c r="E5" s="23">
        <f>IF(3&lt;=$D$2,SUMIFS(PEMBAYARAN!$E$4:$E$500,PEMBAYARAN!$A$4:$A$500,$B5,PEMBAYARAN!$B$4:$B$500,"Februari",PEMBAYARAN!$C$4:$C$500,"Minggu 3"),"")</f>
        <v>0</v>
      </c>
      <c r="F5" s="23">
        <f>IF(4&lt;=$D$2,SUMIFS(PEMBAYARAN!$E$4:$E$500,PEMBAYARAN!$A$4:$A$500,$B5,PEMBAYARAN!$B$4:$B$500,"Februari",PEMBAYARAN!$C$4:$C$500,"Minggu 4"),"")</f>
        <v>0</v>
      </c>
      <c r="G5" s="23" t="str">
        <f>IF(5&lt;=$D$2,SUMIFS(PEMBAYARAN!$E$4:$E$500,PEMBAYARAN!$A$4:$A$500,$B5,PEMBAYARAN!$B$4:$B$500,"Februari",PEMBAYARAN!$C$4:$C$500,"Minggu 5"),"")</f>
        <v/>
      </c>
      <c r="H5" s="23">
        <f t="shared" ref="H5:H45" si="0">MIN($D$2,5)*$F$2</f>
        <v>20000</v>
      </c>
      <c r="I5" s="23">
        <f t="shared" ref="I5:I45" si="1">SUM(C5:G5)</f>
        <v>0</v>
      </c>
      <c r="J5" s="23">
        <f t="shared" ref="J5:J45" si="2">MAX(H5-I5,0)</f>
        <v>20000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-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IF(1&lt;=$D$2,SUMIFS(PEMBAYARAN!$E$4:$E$500,PEMBAYARAN!$A$4:$A$500,$B6,PEMBAYARAN!$B$4:$B$500,"Februari",PEMBAYARAN!$C$4:$C$500,"Minggu 1"),"")</f>
        <v>0</v>
      </c>
      <c r="D6" s="23">
        <f>IF(2&lt;=$D$2,SUMIFS(PEMBAYARAN!$E$4:$E$500,PEMBAYARAN!$A$4:$A$500,$B6,PEMBAYARAN!$B$4:$B$500,"Februari",PEMBAYARAN!$C$4:$C$500,"Minggu 2"),"")</f>
        <v>0</v>
      </c>
      <c r="E6" s="23">
        <f>IF(3&lt;=$D$2,SUMIFS(PEMBAYARAN!$E$4:$E$500,PEMBAYARAN!$A$4:$A$500,$B6,PEMBAYARAN!$B$4:$B$500,"Februari",PEMBAYARAN!$C$4:$C$500,"Minggu 3"),"")</f>
        <v>0</v>
      </c>
      <c r="F6" s="23">
        <f>IF(4&lt;=$D$2,SUMIFS(PEMBAYARAN!$E$4:$E$500,PEMBAYARAN!$A$4:$A$500,$B6,PEMBAYARAN!$B$4:$B$500,"Februari",PEMBAYARAN!$C$4:$C$500,"Minggu 4"),"")</f>
        <v>0</v>
      </c>
      <c r="G6" s="23" t="str">
        <f>IF(5&lt;=$D$2,SUMIFS(PEMBAYARAN!$E$4:$E$500,PEMBAYARAN!$A$4:$A$500,$B6,PEMBAYARAN!$B$4:$B$500,"Februari",PEMBAYARAN!$C$4:$C$500,"Minggu 5"),"")</f>
        <v/>
      </c>
      <c r="H6" s="23">
        <f t="shared" si="0"/>
        <v>20000</v>
      </c>
      <c r="I6" s="23">
        <f t="shared" si="1"/>
        <v>0</v>
      </c>
      <c r="J6" s="23">
        <f t="shared" si="2"/>
        <v>20000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-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IF(1&lt;=$D$2,SUMIFS(PEMBAYARAN!$E$4:$E$500,PEMBAYARAN!$A$4:$A$500,$B7,PEMBAYARAN!$B$4:$B$500,"Februari",PEMBAYARAN!$C$4:$C$500,"Minggu 1"),"")</f>
        <v>0</v>
      </c>
      <c r="D7" s="23">
        <f>IF(2&lt;=$D$2,SUMIFS(PEMBAYARAN!$E$4:$E$500,PEMBAYARAN!$A$4:$A$500,$B7,PEMBAYARAN!$B$4:$B$500,"Februari",PEMBAYARAN!$C$4:$C$500,"Minggu 2"),"")</f>
        <v>0</v>
      </c>
      <c r="E7" s="23">
        <f>IF(3&lt;=$D$2,SUMIFS(PEMBAYARAN!$E$4:$E$500,PEMBAYARAN!$A$4:$A$500,$B7,PEMBAYARAN!$B$4:$B$500,"Februari",PEMBAYARAN!$C$4:$C$500,"Minggu 3"),"")</f>
        <v>0</v>
      </c>
      <c r="F7" s="23">
        <f>IF(4&lt;=$D$2,SUMIFS(PEMBAYARAN!$E$4:$E$500,PEMBAYARAN!$A$4:$A$500,$B7,PEMBAYARAN!$B$4:$B$500,"Februari",PEMBAYARAN!$C$4:$C$500,"Minggu 4"),"")</f>
        <v>0</v>
      </c>
      <c r="G7" s="23" t="str">
        <f>IF(5&lt;=$D$2,SUMIFS(PEMBAYARAN!$E$4:$E$500,PEMBAYARAN!$A$4:$A$500,$B7,PEMBAYARAN!$B$4:$B$500,"Februari",PEMBAYARAN!$C$4:$C$500,"Minggu 5"),"")</f>
        <v/>
      </c>
      <c r="H7" s="23">
        <f t="shared" si="0"/>
        <v>20000</v>
      </c>
      <c r="I7" s="23">
        <f t="shared" si="1"/>
        <v>0</v>
      </c>
      <c r="J7" s="23">
        <f t="shared" si="2"/>
        <v>20000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-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IF(1&lt;=$D$2,SUMIFS(PEMBAYARAN!$E$4:$E$500,PEMBAYARAN!$A$4:$A$500,$B8,PEMBAYARAN!$B$4:$B$500,"Februari",PEMBAYARAN!$C$4:$C$500,"Minggu 1"),"")</f>
        <v>0</v>
      </c>
      <c r="D8" s="23">
        <f>IF(2&lt;=$D$2,SUMIFS(PEMBAYARAN!$E$4:$E$500,PEMBAYARAN!$A$4:$A$500,$B8,PEMBAYARAN!$B$4:$B$500,"Februari",PEMBAYARAN!$C$4:$C$500,"Minggu 2"),"")</f>
        <v>0</v>
      </c>
      <c r="E8" s="23">
        <f>IF(3&lt;=$D$2,SUMIFS(PEMBAYARAN!$E$4:$E$500,PEMBAYARAN!$A$4:$A$500,$B8,PEMBAYARAN!$B$4:$B$500,"Februari",PEMBAYARAN!$C$4:$C$500,"Minggu 3"),"")</f>
        <v>0</v>
      </c>
      <c r="F8" s="23">
        <f>IF(4&lt;=$D$2,SUMIFS(PEMBAYARAN!$E$4:$E$500,PEMBAYARAN!$A$4:$A$500,$B8,PEMBAYARAN!$B$4:$B$500,"Februari",PEMBAYARAN!$C$4:$C$500,"Minggu 4"),"")</f>
        <v>0</v>
      </c>
      <c r="G8" s="23" t="str">
        <f>IF(5&lt;=$D$2,SUMIFS(PEMBAYARAN!$E$4:$E$500,PEMBAYARAN!$A$4:$A$500,$B8,PEMBAYARAN!$B$4:$B$500,"Februari",PEMBAYARAN!$C$4:$C$500,"Minggu 5"),"")</f>
        <v/>
      </c>
      <c r="H8" s="23">
        <f t="shared" si="0"/>
        <v>20000</v>
      </c>
      <c r="I8" s="23">
        <f t="shared" si="1"/>
        <v>0</v>
      </c>
      <c r="J8" s="23">
        <f t="shared" si="2"/>
        <v>20000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-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IF(1&lt;=$D$2,SUMIFS(PEMBAYARAN!$E$4:$E$500,PEMBAYARAN!$A$4:$A$500,$B9,PEMBAYARAN!$B$4:$B$500,"Februari",PEMBAYARAN!$C$4:$C$500,"Minggu 1"),"")</f>
        <v>0</v>
      </c>
      <c r="D9" s="23">
        <f>IF(2&lt;=$D$2,SUMIFS(PEMBAYARAN!$E$4:$E$500,PEMBAYARAN!$A$4:$A$500,$B9,PEMBAYARAN!$B$4:$B$500,"Februari",PEMBAYARAN!$C$4:$C$500,"Minggu 2"),"")</f>
        <v>0</v>
      </c>
      <c r="E9" s="23">
        <f>IF(3&lt;=$D$2,SUMIFS(PEMBAYARAN!$E$4:$E$500,PEMBAYARAN!$A$4:$A$500,$B9,PEMBAYARAN!$B$4:$B$500,"Februari",PEMBAYARAN!$C$4:$C$500,"Minggu 3"),"")</f>
        <v>0</v>
      </c>
      <c r="F9" s="23">
        <f>IF(4&lt;=$D$2,SUMIFS(PEMBAYARAN!$E$4:$E$500,PEMBAYARAN!$A$4:$A$500,$B9,PEMBAYARAN!$B$4:$B$500,"Februari",PEMBAYARAN!$C$4:$C$500,"Minggu 4"),"")</f>
        <v>0</v>
      </c>
      <c r="G9" s="23" t="str">
        <f>IF(5&lt;=$D$2,SUMIFS(PEMBAYARAN!$E$4:$E$500,PEMBAYARAN!$A$4:$A$500,$B9,PEMBAYARAN!$B$4:$B$500,"Februari",PEMBAYARAN!$C$4:$C$500,"Minggu 5"),"")</f>
        <v/>
      </c>
      <c r="H9" s="23">
        <f t="shared" si="0"/>
        <v>20000</v>
      </c>
      <c r="I9" s="23">
        <f t="shared" si="1"/>
        <v>0</v>
      </c>
      <c r="J9" s="23">
        <f t="shared" si="2"/>
        <v>20000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-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IF(1&lt;=$D$2,SUMIFS(PEMBAYARAN!$E$4:$E$500,PEMBAYARAN!$A$4:$A$500,$B10,PEMBAYARAN!$B$4:$B$500,"Februari",PEMBAYARAN!$C$4:$C$500,"Minggu 1"),"")</f>
        <v>0</v>
      </c>
      <c r="D10" s="23">
        <f>IF(2&lt;=$D$2,SUMIFS(PEMBAYARAN!$E$4:$E$500,PEMBAYARAN!$A$4:$A$500,$B10,PEMBAYARAN!$B$4:$B$500,"Februari",PEMBAYARAN!$C$4:$C$500,"Minggu 2"),"")</f>
        <v>0</v>
      </c>
      <c r="E10" s="23">
        <f>IF(3&lt;=$D$2,SUMIFS(PEMBAYARAN!$E$4:$E$500,PEMBAYARAN!$A$4:$A$500,$B10,PEMBAYARAN!$B$4:$B$500,"Februari",PEMBAYARAN!$C$4:$C$500,"Minggu 3"),"")</f>
        <v>0</v>
      </c>
      <c r="F10" s="23">
        <f>IF(4&lt;=$D$2,SUMIFS(PEMBAYARAN!$E$4:$E$500,PEMBAYARAN!$A$4:$A$500,$B10,PEMBAYARAN!$B$4:$B$500,"Februari",PEMBAYARAN!$C$4:$C$500,"Minggu 4"),"")</f>
        <v>0</v>
      </c>
      <c r="G10" s="23" t="str">
        <f>IF(5&lt;=$D$2,SUMIFS(PEMBAYARAN!$E$4:$E$500,PEMBAYARAN!$A$4:$A$500,$B10,PEMBAYARAN!$B$4:$B$500,"Februari",PEMBAYARAN!$C$4:$C$500,"Minggu 5"),"")</f>
        <v/>
      </c>
      <c r="H10" s="23">
        <f t="shared" si="0"/>
        <v>20000</v>
      </c>
      <c r="I10" s="23">
        <f t="shared" si="1"/>
        <v>0</v>
      </c>
      <c r="J10" s="23">
        <f t="shared" si="2"/>
        <v>20000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-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IF(1&lt;=$D$2,SUMIFS(PEMBAYARAN!$E$4:$E$500,PEMBAYARAN!$A$4:$A$500,$B11,PEMBAYARAN!$B$4:$B$500,"Februari",PEMBAYARAN!$C$4:$C$500,"Minggu 1"),"")</f>
        <v>0</v>
      </c>
      <c r="D11" s="23">
        <f>IF(2&lt;=$D$2,SUMIFS(PEMBAYARAN!$E$4:$E$500,PEMBAYARAN!$A$4:$A$500,$B11,PEMBAYARAN!$B$4:$B$500,"Februari",PEMBAYARAN!$C$4:$C$500,"Minggu 2"),"")</f>
        <v>0</v>
      </c>
      <c r="E11" s="23">
        <f>IF(3&lt;=$D$2,SUMIFS(PEMBAYARAN!$E$4:$E$500,PEMBAYARAN!$A$4:$A$500,$B11,PEMBAYARAN!$B$4:$B$500,"Februari",PEMBAYARAN!$C$4:$C$500,"Minggu 3"),"")</f>
        <v>0</v>
      </c>
      <c r="F11" s="23">
        <f>IF(4&lt;=$D$2,SUMIFS(PEMBAYARAN!$E$4:$E$500,PEMBAYARAN!$A$4:$A$500,$B11,PEMBAYARAN!$B$4:$B$500,"Februari",PEMBAYARAN!$C$4:$C$500,"Minggu 4"),"")</f>
        <v>0</v>
      </c>
      <c r="G11" s="23" t="str">
        <f>IF(5&lt;=$D$2,SUMIFS(PEMBAYARAN!$E$4:$E$500,PEMBAYARAN!$A$4:$A$500,$B11,PEMBAYARAN!$B$4:$B$500,"Februari",PEMBAYARAN!$C$4:$C$500,"Minggu 5"),"")</f>
        <v/>
      </c>
      <c r="H11" s="23">
        <f t="shared" si="0"/>
        <v>20000</v>
      </c>
      <c r="I11" s="23">
        <f t="shared" si="1"/>
        <v>0</v>
      </c>
      <c r="J11" s="23">
        <f t="shared" si="2"/>
        <v>20000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-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IF(1&lt;=$D$2,SUMIFS(PEMBAYARAN!$E$4:$E$500,PEMBAYARAN!$A$4:$A$500,$B12,PEMBAYARAN!$B$4:$B$500,"Februari",PEMBAYARAN!$C$4:$C$500,"Minggu 1"),"")</f>
        <v>0</v>
      </c>
      <c r="D12" s="23">
        <f>IF(2&lt;=$D$2,SUMIFS(PEMBAYARAN!$E$4:$E$500,PEMBAYARAN!$A$4:$A$500,$B12,PEMBAYARAN!$B$4:$B$500,"Februari",PEMBAYARAN!$C$4:$C$500,"Minggu 2"),"")</f>
        <v>0</v>
      </c>
      <c r="E12" s="23">
        <f>IF(3&lt;=$D$2,SUMIFS(PEMBAYARAN!$E$4:$E$500,PEMBAYARAN!$A$4:$A$500,$B12,PEMBAYARAN!$B$4:$B$500,"Februari",PEMBAYARAN!$C$4:$C$500,"Minggu 3"),"")</f>
        <v>0</v>
      </c>
      <c r="F12" s="23">
        <f>IF(4&lt;=$D$2,SUMIFS(PEMBAYARAN!$E$4:$E$500,PEMBAYARAN!$A$4:$A$500,$B12,PEMBAYARAN!$B$4:$B$500,"Februari",PEMBAYARAN!$C$4:$C$500,"Minggu 4"),"")</f>
        <v>0</v>
      </c>
      <c r="G12" s="23" t="str">
        <f>IF(5&lt;=$D$2,SUMIFS(PEMBAYARAN!$E$4:$E$500,PEMBAYARAN!$A$4:$A$500,$B12,PEMBAYARAN!$B$4:$B$500,"Februari",PEMBAYARAN!$C$4:$C$500,"Minggu 5"),"")</f>
        <v/>
      </c>
      <c r="H12" s="23">
        <f t="shared" si="0"/>
        <v>20000</v>
      </c>
      <c r="I12" s="23">
        <f t="shared" si="1"/>
        <v>0</v>
      </c>
      <c r="J12" s="23">
        <f t="shared" si="2"/>
        <v>20000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-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IF(1&lt;=$D$2,SUMIFS(PEMBAYARAN!$E$4:$E$500,PEMBAYARAN!$A$4:$A$500,$B13,PEMBAYARAN!$B$4:$B$500,"Februari",PEMBAYARAN!$C$4:$C$500,"Minggu 1"),"")</f>
        <v>0</v>
      </c>
      <c r="D13" s="23">
        <f>IF(2&lt;=$D$2,SUMIFS(PEMBAYARAN!$E$4:$E$500,PEMBAYARAN!$A$4:$A$500,$B13,PEMBAYARAN!$B$4:$B$500,"Februari",PEMBAYARAN!$C$4:$C$500,"Minggu 2"),"")</f>
        <v>0</v>
      </c>
      <c r="E13" s="23">
        <f>IF(3&lt;=$D$2,SUMIFS(PEMBAYARAN!$E$4:$E$500,PEMBAYARAN!$A$4:$A$500,$B13,PEMBAYARAN!$B$4:$B$500,"Februari",PEMBAYARAN!$C$4:$C$500,"Minggu 3"),"")</f>
        <v>0</v>
      </c>
      <c r="F13" s="23">
        <f>IF(4&lt;=$D$2,SUMIFS(PEMBAYARAN!$E$4:$E$500,PEMBAYARAN!$A$4:$A$500,$B13,PEMBAYARAN!$B$4:$B$500,"Februari",PEMBAYARAN!$C$4:$C$500,"Minggu 4"),"")</f>
        <v>0</v>
      </c>
      <c r="G13" s="23" t="str">
        <f>IF(5&lt;=$D$2,SUMIFS(PEMBAYARAN!$E$4:$E$500,PEMBAYARAN!$A$4:$A$500,$B13,PEMBAYARAN!$B$4:$B$500,"Februari",PEMBAYARAN!$C$4:$C$500,"Minggu 5"),"")</f>
        <v/>
      </c>
      <c r="H13" s="23">
        <f t="shared" si="0"/>
        <v>20000</v>
      </c>
      <c r="I13" s="23">
        <f t="shared" si="1"/>
        <v>0</v>
      </c>
      <c r="J13" s="23">
        <f t="shared" si="2"/>
        <v>20000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-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IF(1&lt;=$D$2,SUMIFS(PEMBAYARAN!$E$4:$E$500,PEMBAYARAN!$A$4:$A$500,$B14,PEMBAYARAN!$B$4:$B$500,"Februari",PEMBAYARAN!$C$4:$C$500,"Minggu 1"),"")</f>
        <v>0</v>
      </c>
      <c r="D14" s="23">
        <f>IF(2&lt;=$D$2,SUMIFS(PEMBAYARAN!$E$4:$E$500,PEMBAYARAN!$A$4:$A$500,$B14,PEMBAYARAN!$B$4:$B$500,"Februari",PEMBAYARAN!$C$4:$C$500,"Minggu 2"),"")</f>
        <v>0</v>
      </c>
      <c r="E14" s="23">
        <f>IF(3&lt;=$D$2,SUMIFS(PEMBAYARAN!$E$4:$E$500,PEMBAYARAN!$A$4:$A$500,$B14,PEMBAYARAN!$B$4:$B$500,"Februari",PEMBAYARAN!$C$4:$C$500,"Minggu 3"),"")</f>
        <v>0</v>
      </c>
      <c r="F14" s="23">
        <f>IF(4&lt;=$D$2,SUMIFS(PEMBAYARAN!$E$4:$E$500,PEMBAYARAN!$A$4:$A$500,$B14,PEMBAYARAN!$B$4:$B$500,"Februari",PEMBAYARAN!$C$4:$C$500,"Minggu 4"),"")</f>
        <v>0</v>
      </c>
      <c r="G14" s="23" t="str">
        <f>IF(5&lt;=$D$2,SUMIFS(PEMBAYARAN!$E$4:$E$500,PEMBAYARAN!$A$4:$A$500,$B14,PEMBAYARAN!$B$4:$B$500,"Februari",PEMBAYARAN!$C$4:$C$500,"Minggu 5"),"")</f>
        <v/>
      </c>
      <c r="H14" s="23">
        <f t="shared" si="0"/>
        <v>20000</v>
      </c>
      <c r="I14" s="23">
        <f t="shared" si="1"/>
        <v>0</v>
      </c>
      <c r="J14" s="23">
        <f t="shared" si="2"/>
        <v>20000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-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IF(1&lt;=$D$2,SUMIFS(PEMBAYARAN!$E$4:$E$500,PEMBAYARAN!$A$4:$A$500,$B15,PEMBAYARAN!$B$4:$B$500,"Februari",PEMBAYARAN!$C$4:$C$500,"Minggu 1"),"")</f>
        <v>0</v>
      </c>
      <c r="D15" s="23">
        <f>IF(2&lt;=$D$2,SUMIFS(PEMBAYARAN!$E$4:$E$500,PEMBAYARAN!$A$4:$A$500,$B15,PEMBAYARAN!$B$4:$B$500,"Februari",PEMBAYARAN!$C$4:$C$500,"Minggu 2"),"")</f>
        <v>0</v>
      </c>
      <c r="E15" s="23">
        <f>IF(3&lt;=$D$2,SUMIFS(PEMBAYARAN!$E$4:$E$500,PEMBAYARAN!$A$4:$A$500,$B15,PEMBAYARAN!$B$4:$B$500,"Februari",PEMBAYARAN!$C$4:$C$500,"Minggu 3"),"")</f>
        <v>0</v>
      </c>
      <c r="F15" s="23">
        <f>IF(4&lt;=$D$2,SUMIFS(PEMBAYARAN!$E$4:$E$500,PEMBAYARAN!$A$4:$A$500,$B15,PEMBAYARAN!$B$4:$B$500,"Februari",PEMBAYARAN!$C$4:$C$500,"Minggu 4"),"")</f>
        <v>0</v>
      </c>
      <c r="G15" s="23" t="str">
        <f>IF(5&lt;=$D$2,SUMIFS(PEMBAYARAN!$E$4:$E$500,PEMBAYARAN!$A$4:$A$500,$B15,PEMBAYARAN!$B$4:$B$500,"Februari",PEMBAYARAN!$C$4:$C$500,"Minggu 5"),"")</f>
        <v/>
      </c>
      <c r="H15" s="23">
        <f t="shared" si="0"/>
        <v>20000</v>
      </c>
      <c r="I15" s="23">
        <f t="shared" si="1"/>
        <v>0</v>
      </c>
      <c r="J15" s="23">
        <f t="shared" si="2"/>
        <v>20000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-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IF(1&lt;=$D$2,SUMIFS(PEMBAYARAN!$E$4:$E$500,PEMBAYARAN!$A$4:$A$500,$B16,PEMBAYARAN!$B$4:$B$500,"Februari",PEMBAYARAN!$C$4:$C$500,"Minggu 1"),"")</f>
        <v>0</v>
      </c>
      <c r="D16" s="23">
        <f>IF(2&lt;=$D$2,SUMIFS(PEMBAYARAN!$E$4:$E$500,PEMBAYARAN!$A$4:$A$500,$B16,PEMBAYARAN!$B$4:$B$500,"Februari",PEMBAYARAN!$C$4:$C$500,"Minggu 2"),"")</f>
        <v>0</v>
      </c>
      <c r="E16" s="23">
        <f>IF(3&lt;=$D$2,SUMIFS(PEMBAYARAN!$E$4:$E$500,PEMBAYARAN!$A$4:$A$500,$B16,PEMBAYARAN!$B$4:$B$500,"Februari",PEMBAYARAN!$C$4:$C$500,"Minggu 3"),"")</f>
        <v>0</v>
      </c>
      <c r="F16" s="23">
        <f>IF(4&lt;=$D$2,SUMIFS(PEMBAYARAN!$E$4:$E$500,PEMBAYARAN!$A$4:$A$500,$B16,PEMBAYARAN!$B$4:$B$500,"Februari",PEMBAYARAN!$C$4:$C$500,"Minggu 4"),"")</f>
        <v>0</v>
      </c>
      <c r="G16" s="23" t="str">
        <f>IF(5&lt;=$D$2,SUMIFS(PEMBAYARAN!$E$4:$E$500,PEMBAYARAN!$A$4:$A$500,$B16,PEMBAYARAN!$B$4:$B$500,"Februari",PEMBAYARAN!$C$4:$C$500,"Minggu 5"),"")</f>
        <v/>
      </c>
      <c r="H16" s="23">
        <f t="shared" si="0"/>
        <v>20000</v>
      </c>
      <c r="I16" s="23">
        <f t="shared" si="1"/>
        <v>0</v>
      </c>
      <c r="J16" s="23">
        <f t="shared" si="2"/>
        <v>20000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-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IF(1&lt;=$D$2,SUMIFS(PEMBAYARAN!$E$4:$E$500,PEMBAYARAN!$A$4:$A$500,$B17,PEMBAYARAN!$B$4:$B$500,"Februari",PEMBAYARAN!$C$4:$C$500,"Minggu 1"),"")</f>
        <v>0</v>
      </c>
      <c r="D17" s="23">
        <f>IF(2&lt;=$D$2,SUMIFS(PEMBAYARAN!$E$4:$E$500,PEMBAYARAN!$A$4:$A$500,$B17,PEMBAYARAN!$B$4:$B$500,"Februari",PEMBAYARAN!$C$4:$C$500,"Minggu 2"),"")</f>
        <v>0</v>
      </c>
      <c r="E17" s="23">
        <f>IF(3&lt;=$D$2,SUMIFS(PEMBAYARAN!$E$4:$E$500,PEMBAYARAN!$A$4:$A$500,$B17,PEMBAYARAN!$B$4:$B$500,"Februari",PEMBAYARAN!$C$4:$C$500,"Minggu 3"),"")</f>
        <v>0</v>
      </c>
      <c r="F17" s="23">
        <f>IF(4&lt;=$D$2,SUMIFS(PEMBAYARAN!$E$4:$E$500,PEMBAYARAN!$A$4:$A$500,$B17,PEMBAYARAN!$B$4:$B$500,"Februari",PEMBAYARAN!$C$4:$C$500,"Minggu 4"),"")</f>
        <v>0</v>
      </c>
      <c r="G17" s="23" t="str">
        <f>IF(5&lt;=$D$2,SUMIFS(PEMBAYARAN!$E$4:$E$500,PEMBAYARAN!$A$4:$A$500,$B17,PEMBAYARAN!$B$4:$B$500,"Februari",PEMBAYARAN!$C$4:$C$500,"Minggu 5"),"")</f>
        <v/>
      </c>
      <c r="H17" s="23">
        <f t="shared" si="0"/>
        <v>20000</v>
      </c>
      <c r="I17" s="23">
        <f t="shared" si="1"/>
        <v>0</v>
      </c>
      <c r="J17" s="23">
        <f t="shared" si="2"/>
        <v>20000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-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IF(1&lt;=$D$2,SUMIFS(PEMBAYARAN!$E$4:$E$500,PEMBAYARAN!$A$4:$A$500,$B18,PEMBAYARAN!$B$4:$B$500,"Februari",PEMBAYARAN!$C$4:$C$500,"Minggu 1"),"")</f>
        <v>0</v>
      </c>
      <c r="D18" s="23">
        <f>IF(2&lt;=$D$2,SUMIFS(PEMBAYARAN!$E$4:$E$500,PEMBAYARAN!$A$4:$A$500,$B18,PEMBAYARAN!$B$4:$B$500,"Februari",PEMBAYARAN!$C$4:$C$500,"Minggu 2"),"")</f>
        <v>0</v>
      </c>
      <c r="E18" s="23">
        <f>IF(3&lt;=$D$2,SUMIFS(PEMBAYARAN!$E$4:$E$500,PEMBAYARAN!$A$4:$A$500,$B18,PEMBAYARAN!$B$4:$B$500,"Februari",PEMBAYARAN!$C$4:$C$500,"Minggu 3"),"")</f>
        <v>0</v>
      </c>
      <c r="F18" s="23">
        <f>IF(4&lt;=$D$2,SUMIFS(PEMBAYARAN!$E$4:$E$500,PEMBAYARAN!$A$4:$A$500,$B18,PEMBAYARAN!$B$4:$B$500,"Februari",PEMBAYARAN!$C$4:$C$500,"Minggu 4"),"")</f>
        <v>0</v>
      </c>
      <c r="G18" s="23" t="str">
        <f>IF(5&lt;=$D$2,SUMIFS(PEMBAYARAN!$E$4:$E$500,PEMBAYARAN!$A$4:$A$500,$B18,PEMBAYARAN!$B$4:$B$500,"Februari",PEMBAYARAN!$C$4:$C$500,"Minggu 5"),"")</f>
        <v/>
      </c>
      <c r="H18" s="23">
        <f t="shared" si="0"/>
        <v>20000</v>
      </c>
      <c r="I18" s="23">
        <f t="shared" si="1"/>
        <v>0</v>
      </c>
      <c r="J18" s="23">
        <f t="shared" si="2"/>
        <v>20000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-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IF(1&lt;=$D$2,SUMIFS(PEMBAYARAN!$E$4:$E$500,PEMBAYARAN!$A$4:$A$500,$B19,PEMBAYARAN!$B$4:$B$500,"Februari",PEMBAYARAN!$C$4:$C$500,"Minggu 1"),"")</f>
        <v>0</v>
      </c>
      <c r="D19" s="23">
        <f>IF(2&lt;=$D$2,SUMIFS(PEMBAYARAN!$E$4:$E$500,PEMBAYARAN!$A$4:$A$500,$B19,PEMBAYARAN!$B$4:$B$500,"Februari",PEMBAYARAN!$C$4:$C$500,"Minggu 2"),"")</f>
        <v>0</v>
      </c>
      <c r="E19" s="23">
        <f>IF(3&lt;=$D$2,SUMIFS(PEMBAYARAN!$E$4:$E$500,PEMBAYARAN!$A$4:$A$500,$B19,PEMBAYARAN!$B$4:$B$500,"Februari",PEMBAYARAN!$C$4:$C$500,"Minggu 3"),"")</f>
        <v>0</v>
      </c>
      <c r="F19" s="23">
        <f>IF(4&lt;=$D$2,SUMIFS(PEMBAYARAN!$E$4:$E$500,PEMBAYARAN!$A$4:$A$500,$B19,PEMBAYARAN!$B$4:$B$500,"Februari",PEMBAYARAN!$C$4:$C$500,"Minggu 4"),"")</f>
        <v>0</v>
      </c>
      <c r="G19" s="23" t="str">
        <f>IF(5&lt;=$D$2,SUMIFS(PEMBAYARAN!$E$4:$E$500,PEMBAYARAN!$A$4:$A$500,$B19,PEMBAYARAN!$B$4:$B$500,"Februari",PEMBAYARAN!$C$4:$C$500,"Minggu 5"),"")</f>
        <v/>
      </c>
      <c r="H19" s="23">
        <f t="shared" si="0"/>
        <v>20000</v>
      </c>
      <c r="I19" s="23">
        <f t="shared" si="1"/>
        <v>0</v>
      </c>
      <c r="J19" s="23">
        <f t="shared" si="2"/>
        <v>20000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-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IF(1&lt;=$D$2,SUMIFS(PEMBAYARAN!$E$4:$E$500,PEMBAYARAN!$A$4:$A$500,$B20,PEMBAYARAN!$B$4:$B$500,"Februari",PEMBAYARAN!$C$4:$C$500,"Minggu 1"),"")</f>
        <v>0</v>
      </c>
      <c r="D20" s="23">
        <f>IF(2&lt;=$D$2,SUMIFS(PEMBAYARAN!$E$4:$E$500,PEMBAYARAN!$A$4:$A$500,$B20,PEMBAYARAN!$B$4:$B$500,"Februari",PEMBAYARAN!$C$4:$C$500,"Minggu 2"),"")</f>
        <v>0</v>
      </c>
      <c r="E20" s="23">
        <f>IF(3&lt;=$D$2,SUMIFS(PEMBAYARAN!$E$4:$E$500,PEMBAYARAN!$A$4:$A$500,$B20,PEMBAYARAN!$B$4:$B$500,"Februari",PEMBAYARAN!$C$4:$C$500,"Minggu 3"),"")</f>
        <v>0</v>
      </c>
      <c r="F20" s="23">
        <f>IF(4&lt;=$D$2,SUMIFS(PEMBAYARAN!$E$4:$E$500,PEMBAYARAN!$A$4:$A$500,$B20,PEMBAYARAN!$B$4:$B$500,"Februari",PEMBAYARAN!$C$4:$C$500,"Minggu 4"),"")</f>
        <v>0</v>
      </c>
      <c r="G20" s="23" t="str">
        <f>IF(5&lt;=$D$2,SUMIFS(PEMBAYARAN!$E$4:$E$500,PEMBAYARAN!$A$4:$A$500,$B20,PEMBAYARAN!$B$4:$B$500,"Februari",PEMBAYARAN!$C$4:$C$500,"Minggu 5"),"")</f>
        <v/>
      </c>
      <c r="H20" s="23">
        <f t="shared" si="0"/>
        <v>20000</v>
      </c>
      <c r="I20" s="23">
        <f t="shared" si="1"/>
        <v>0</v>
      </c>
      <c r="J20" s="23">
        <f t="shared" si="2"/>
        <v>20000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-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IF(1&lt;=$D$2,SUMIFS(PEMBAYARAN!$E$4:$E$500,PEMBAYARAN!$A$4:$A$500,$B21,PEMBAYARAN!$B$4:$B$500,"Februari",PEMBAYARAN!$C$4:$C$500,"Minggu 1"),"")</f>
        <v>0</v>
      </c>
      <c r="D21" s="23">
        <f>IF(2&lt;=$D$2,SUMIFS(PEMBAYARAN!$E$4:$E$500,PEMBAYARAN!$A$4:$A$500,$B21,PEMBAYARAN!$B$4:$B$500,"Februari",PEMBAYARAN!$C$4:$C$500,"Minggu 2"),"")</f>
        <v>0</v>
      </c>
      <c r="E21" s="23">
        <f>IF(3&lt;=$D$2,SUMIFS(PEMBAYARAN!$E$4:$E$500,PEMBAYARAN!$A$4:$A$500,$B21,PEMBAYARAN!$B$4:$B$500,"Februari",PEMBAYARAN!$C$4:$C$500,"Minggu 3"),"")</f>
        <v>0</v>
      </c>
      <c r="F21" s="23">
        <f>IF(4&lt;=$D$2,SUMIFS(PEMBAYARAN!$E$4:$E$500,PEMBAYARAN!$A$4:$A$500,$B21,PEMBAYARAN!$B$4:$B$500,"Februari",PEMBAYARAN!$C$4:$C$500,"Minggu 4"),"")</f>
        <v>0</v>
      </c>
      <c r="G21" s="23" t="str">
        <f>IF(5&lt;=$D$2,SUMIFS(PEMBAYARAN!$E$4:$E$500,PEMBAYARAN!$A$4:$A$500,$B21,PEMBAYARAN!$B$4:$B$500,"Februari",PEMBAYARAN!$C$4:$C$500,"Minggu 5"),"")</f>
        <v/>
      </c>
      <c r="H21" s="23">
        <f t="shared" si="0"/>
        <v>20000</v>
      </c>
      <c r="I21" s="23">
        <f t="shared" si="1"/>
        <v>0</v>
      </c>
      <c r="J21" s="23">
        <f t="shared" si="2"/>
        <v>20000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-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IF(1&lt;=$D$2,SUMIFS(PEMBAYARAN!$E$4:$E$500,PEMBAYARAN!$A$4:$A$500,$B22,PEMBAYARAN!$B$4:$B$500,"Februari",PEMBAYARAN!$C$4:$C$500,"Minggu 1"),"")</f>
        <v>0</v>
      </c>
      <c r="D22" s="23">
        <f>IF(2&lt;=$D$2,SUMIFS(PEMBAYARAN!$E$4:$E$500,PEMBAYARAN!$A$4:$A$500,$B22,PEMBAYARAN!$B$4:$B$500,"Februari",PEMBAYARAN!$C$4:$C$500,"Minggu 2"),"")</f>
        <v>0</v>
      </c>
      <c r="E22" s="23">
        <f>IF(3&lt;=$D$2,SUMIFS(PEMBAYARAN!$E$4:$E$500,PEMBAYARAN!$A$4:$A$500,$B22,PEMBAYARAN!$B$4:$B$500,"Februari",PEMBAYARAN!$C$4:$C$500,"Minggu 3"),"")</f>
        <v>0</v>
      </c>
      <c r="F22" s="23">
        <f>IF(4&lt;=$D$2,SUMIFS(PEMBAYARAN!$E$4:$E$500,PEMBAYARAN!$A$4:$A$500,$B22,PEMBAYARAN!$B$4:$B$500,"Februari",PEMBAYARAN!$C$4:$C$500,"Minggu 4"),"")</f>
        <v>0</v>
      </c>
      <c r="G22" s="23" t="str">
        <f>IF(5&lt;=$D$2,SUMIFS(PEMBAYARAN!$E$4:$E$500,PEMBAYARAN!$A$4:$A$500,$B22,PEMBAYARAN!$B$4:$B$500,"Februari",PEMBAYARAN!$C$4:$C$500,"Minggu 5"),"")</f>
        <v/>
      </c>
      <c r="H22" s="23">
        <f t="shared" si="0"/>
        <v>20000</v>
      </c>
      <c r="I22" s="23">
        <f t="shared" si="1"/>
        <v>0</v>
      </c>
      <c r="J22" s="23">
        <f t="shared" si="2"/>
        <v>20000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-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IF(1&lt;=$D$2,SUMIFS(PEMBAYARAN!$E$4:$E$500,PEMBAYARAN!$A$4:$A$500,$B23,PEMBAYARAN!$B$4:$B$500,"Februari",PEMBAYARAN!$C$4:$C$500,"Minggu 1"),"")</f>
        <v>0</v>
      </c>
      <c r="D23" s="23">
        <f>IF(2&lt;=$D$2,SUMIFS(PEMBAYARAN!$E$4:$E$500,PEMBAYARAN!$A$4:$A$500,$B23,PEMBAYARAN!$B$4:$B$500,"Februari",PEMBAYARAN!$C$4:$C$500,"Minggu 2"),"")</f>
        <v>0</v>
      </c>
      <c r="E23" s="23">
        <f>IF(3&lt;=$D$2,SUMIFS(PEMBAYARAN!$E$4:$E$500,PEMBAYARAN!$A$4:$A$500,$B23,PEMBAYARAN!$B$4:$B$500,"Februari",PEMBAYARAN!$C$4:$C$500,"Minggu 3"),"")</f>
        <v>0</v>
      </c>
      <c r="F23" s="23">
        <f>IF(4&lt;=$D$2,SUMIFS(PEMBAYARAN!$E$4:$E$500,PEMBAYARAN!$A$4:$A$500,$B23,PEMBAYARAN!$B$4:$B$500,"Februari",PEMBAYARAN!$C$4:$C$500,"Minggu 4"),"")</f>
        <v>0</v>
      </c>
      <c r="G23" s="23" t="str">
        <f>IF(5&lt;=$D$2,SUMIFS(PEMBAYARAN!$E$4:$E$500,PEMBAYARAN!$A$4:$A$500,$B23,PEMBAYARAN!$B$4:$B$500,"Februari",PEMBAYARAN!$C$4:$C$500,"Minggu 5"),"")</f>
        <v/>
      </c>
      <c r="H23" s="23">
        <f t="shared" si="0"/>
        <v>20000</v>
      </c>
      <c r="I23" s="23">
        <f t="shared" si="1"/>
        <v>0</v>
      </c>
      <c r="J23" s="23">
        <f t="shared" si="2"/>
        <v>20000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-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IF(1&lt;=$D$2,SUMIFS(PEMBAYARAN!$E$4:$E$500,PEMBAYARAN!$A$4:$A$500,$B24,PEMBAYARAN!$B$4:$B$500,"Februari",PEMBAYARAN!$C$4:$C$500,"Minggu 1"),"")</f>
        <v>0</v>
      </c>
      <c r="D24" s="23">
        <f>IF(2&lt;=$D$2,SUMIFS(PEMBAYARAN!$E$4:$E$500,PEMBAYARAN!$A$4:$A$500,$B24,PEMBAYARAN!$B$4:$B$500,"Februari",PEMBAYARAN!$C$4:$C$500,"Minggu 2"),"")</f>
        <v>0</v>
      </c>
      <c r="E24" s="23">
        <f>IF(3&lt;=$D$2,SUMIFS(PEMBAYARAN!$E$4:$E$500,PEMBAYARAN!$A$4:$A$500,$B24,PEMBAYARAN!$B$4:$B$500,"Februari",PEMBAYARAN!$C$4:$C$500,"Minggu 3"),"")</f>
        <v>0</v>
      </c>
      <c r="F24" s="23">
        <f>IF(4&lt;=$D$2,SUMIFS(PEMBAYARAN!$E$4:$E$500,PEMBAYARAN!$A$4:$A$500,$B24,PEMBAYARAN!$B$4:$B$500,"Februari",PEMBAYARAN!$C$4:$C$500,"Minggu 4"),"")</f>
        <v>0</v>
      </c>
      <c r="G24" s="23" t="str">
        <f>IF(5&lt;=$D$2,SUMIFS(PEMBAYARAN!$E$4:$E$500,PEMBAYARAN!$A$4:$A$500,$B24,PEMBAYARAN!$B$4:$B$500,"Februari",PEMBAYARAN!$C$4:$C$500,"Minggu 5"),"")</f>
        <v/>
      </c>
      <c r="H24" s="23">
        <f t="shared" si="0"/>
        <v>20000</v>
      </c>
      <c r="I24" s="23">
        <f t="shared" si="1"/>
        <v>0</v>
      </c>
      <c r="J24" s="23">
        <f t="shared" si="2"/>
        <v>20000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-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IF(1&lt;=$D$2,SUMIFS(PEMBAYARAN!$E$4:$E$500,PEMBAYARAN!$A$4:$A$500,$B25,PEMBAYARAN!$B$4:$B$500,"Februari",PEMBAYARAN!$C$4:$C$500,"Minggu 1"),"")</f>
        <v>0</v>
      </c>
      <c r="D25" s="23">
        <f>IF(2&lt;=$D$2,SUMIFS(PEMBAYARAN!$E$4:$E$500,PEMBAYARAN!$A$4:$A$500,$B25,PEMBAYARAN!$B$4:$B$500,"Februari",PEMBAYARAN!$C$4:$C$500,"Minggu 2"),"")</f>
        <v>0</v>
      </c>
      <c r="E25" s="23">
        <f>IF(3&lt;=$D$2,SUMIFS(PEMBAYARAN!$E$4:$E$500,PEMBAYARAN!$A$4:$A$500,$B25,PEMBAYARAN!$B$4:$B$500,"Februari",PEMBAYARAN!$C$4:$C$500,"Minggu 3"),"")</f>
        <v>0</v>
      </c>
      <c r="F25" s="23">
        <f>IF(4&lt;=$D$2,SUMIFS(PEMBAYARAN!$E$4:$E$500,PEMBAYARAN!$A$4:$A$500,$B25,PEMBAYARAN!$B$4:$B$500,"Februari",PEMBAYARAN!$C$4:$C$500,"Minggu 4"),"")</f>
        <v>0</v>
      </c>
      <c r="G25" s="23" t="str">
        <f>IF(5&lt;=$D$2,SUMIFS(PEMBAYARAN!$E$4:$E$500,PEMBAYARAN!$A$4:$A$500,$B25,PEMBAYARAN!$B$4:$B$500,"Februari",PEMBAYARAN!$C$4:$C$500,"Minggu 5"),"")</f>
        <v/>
      </c>
      <c r="H25" s="23">
        <f t="shared" si="0"/>
        <v>20000</v>
      </c>
      <c r="I25" s="23">
        <f t="shared" si="1"/>
        <v>0</v>
      </c>
      <c r="J25" s="23">
        <f t="shared" si="2"/>
        <v>20000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-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IF(1&lt;=$D$2,SUMIFS(PEMBAYARAN!$E$4:$E$500,PEMBAYARAN!$A$4:$A$500,$B26,PEMBAYARAN!$B$4:$B$500,"Februari",PEMBAYARAN!$C$4:$C$500,"Minggu 1"),"")</f>
        <v>0</v>
      </c>
      <c r="D26" s="23">
        <f>IF(2&lt;=$D$2,SUMIFS(PEMBAYARAN!$E$4:$E$500,PEMBAYARAN!$A$4:$A$500,$B26,PEMBAYARAN!$B$4:$B$500,"Februari",PEMBAYARAN!$C$4:$C$500,"Minggu 2"),"")</f>
        <v>0</v>
      </c>
      <c r="E26" s="23">
        <f>IF(3&lt;=$D$2,SUMIFS(PEMBAYARAN!$E$4:$E$500,PEMBAYARAN!$A$4:$A$500,$B26,PEMBAYARAN!$B$4:$B$500,"Februari",PEMBAYARAN!$C$4:$C$500,"Minggu 3"),"")</f>
        <v>0</v>
      </c>
      <c r="F26" s="23">
        <f>IF(4&lt;=$D$2,SUMIFS(PEMBAYARAN!$E$4:$E$500,PEMBAYARAN!$A$4:$A$500,$B26,PEMBAYARAN!$B$4:$B$500,"Februari",PEMBAYARAN!$C$4:$C$500,"Minggu 4"),"")</f>
        <v>0</v>
      </c>
      <c r="G26" s="23" t="str">
        <f>IF(5&lt;=$D$2,SUMIFS(PEMBAYARAN!$E$4:$E$500,PEMBAYARAN!$A$4:$A$500,$B26,PEMBAYARAN!$B$4:$B$500,"Februari",PEMBAYARAN!$C$4:$C$500,"Minggu 5"),"")</f>
        <v/>
      </c>
      <c r="H26" s="23">
        <f t="shared" si="0"/>
        <v>20000</v>
      </c>
      <c r="I26" s="23">
        <f t="shared" si="1"/>
        <v>0</v>
      </c>
      <c r="J26" s="23">
        <f t="shared" si="2"/>
        <v>20000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-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IF(1&lt;=$D$2,SUMIFS(PEMBAYARAN!$E$4:$E$500,PEMBAYARAN!$A$4:$A$500,$B27,PEMBAYARAN!$B$4:$B$500,"Februari",PEMBAYARAN!$C$4:$C$500,"Minggu 1"),"")</f>
        <v>0</v>
      </c>
      <c r="D27" s="23">
        <f>IF(2&lt;=$D$2,SUMIFS(PEMBAYARAN!$E$4:$E$500,PEMBAYARAN!$A$4:$A$500,$B27,PEMBAYARAN!$B$4:$B$500,"Februari",PEMBAYARAN!$C$4:$C$500,"Minggu 2"),"")</f>
        <v>0</v>
      </c>
      <c r="E27" s="23">
        <f>IF(3&lt;=$D$2,SUMIFS(PEMBAYARAN!$E$4:$E$500,PEMBAYARAN!$A$4:$A$500,$B27,PEMBAYARAN!$B$4:$B$500,"Februari",PEMBAYARAN!$C$4:$C$500,"Minggu 3"),"")</f>
        <v>0</v>
      </c>
      <c r="F27" s="23">
        <f>IF(4&lt;=$D$2,SUMIFS(PEMBAYARAN!$E$4:$E$500,PEMBAYARAN!$A$4:$A$500,$B27,PEMBAYARAN!$B$4:$B$500,"Februari",PEMBAYARAN!$C$4:$C$500,"Minggu 4"),"")</f>
        <v>0</v>
      </c>
      <c r="G27" s="23" t="str">
        <f>IF(5&lt;=$D$2,SUMIFS(PEMBAYARAN!$E$4:$E$500,PEMBAYARAN!$A$4:$A$500,$B27,PEMBAYARAN!$B$4:$B$500,"Februari",PEMBAYARAN!$C$4:$C$500,"Minggu 5"),"")</f>
        <v/>
      </c>
      <c r="H27" s="23">
        <f t="shared" si="0"/>
        <v>20000</v>
      </c>
      <c r="I27" s="23">
        <f t="shared" si="1"/>
        <v>0</v>
      </c>
      <c r="J27" s="23">
        <f t="shared" si="2"/>
        <v>20000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-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IF(1&lt;=$D$2,SUMIFS(PEMBAYARAN!$E$4:$E$500,PEMBAYARAN!$A$4:$A$500,$B28,PEMBAYARAN!$B$4:$B$500,"Februari",PEMBAYARAN!$C$4:$C$500,"Minggu 1"),"")</f>
        <v>0</v>
      </c>
      <c r="D28" s="23">
        <f>IF(2&lt;=$D$2,SUMIFS(PEMBAYARAN!$E$4:$E$500,PEMBAYARAN!$A$4:$A$500,$B28,PEMBAYARAN!$B$4:$B$500,"Februari",PEMBAYARAN!$C$4:$C$500,"Minggu 2"),"")</f>
        <v>0</v>
      </c>
      <c r="E28" s="23">
        <f>IF(3&lt;=$D$2,SUMIFS(PEMBAYARAN!$E$4:$E$500,PEMBAYARAN!$A$4:$A$500,$B28,PEMBAYARAN!$B$4:$B$500,"Februari",PEMBAYARAN!$C$4:$C$500,"Minggu 3"),"")</f>
        <v>0</v>
      </c>
      <c r="F28" s="23">
        <f>IF(4&lt;=$D$2,SUMIFS(PEMBAYARAN!$E$4:$E$500,PEMBAYARAN!$A$4:$A$500,$B28,PEMBAYARAN!$B$4:$B$500,"Februari",PEMBAYARAN!$C$4:$C$500,"Minggu 4"),"")</f>
        <v>0</v>
      </c>
      <c r="G28" s="23" t="str">
        <f>IF(5&lt;=$D$2,SUMIFS(PEMBAYARAN!$E$4:$E$500,PEMBAYARAN!$A$4:$A$500,$B28,PEMBAYARAN!$B$4:$B$500,"Februari",PEMBAYARAN!$C$4:$C$500,"Minggu 5"),"")</f>
        <v/>
      </c>
      <c r="H28" s="23">
        <f t="shared" si="0"/>
        <v>20000</v>
      </c>
      <c r="I28" s="23">
        <f t="shared" si="1"/>
        <v>0</v>
      </c>
      <c r="J28" s="23">
        <f t="shared" si="2"/>
        <v>20000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-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IF(1&lt;=$D$2,SUMIFS(PEMBAYARAN!$E$4:$E$500,PEMBAYARAN!$A$4:$A$500,$B29,PEMBAYARAN!$B$4:$B$500,"Februari",PEMBAYARAN!$C$4:$C$500,"Minggu 1"),"")</f>
        <v>0</v>
      </c>
      <c r="D29" s="23">
        <f>IF(2&lt;=$D$2,SUMIFS(PEMBAYARAN!$E$4:$E$500,PEMBAYARAN!$A$4:$A$500,$B29,PEMBAYARAN!$B$4:$B$500,"Februari",PEMBAYARAN!$C$4:$C$500,"Minggu 2"),"")</f>
        <v>0</v>
      </c>
      <c r="E29" s="23">
        <f>IF(3&lt;=$D$2,SUMIFS(PEMBAYARAN!$E$4:$E$500,PEMBAYARAN!$A$4:$A$500,$B29,PEMBAYARAN!$B$4:$B$500,"Februari",PEMBAYARAN!$C$4:$C$500,"Minggu 3"),"")</f>
        <v>0</v>
      </c>
      <c r="F29" s="23">
        <f>IF(4&lt;=$D$2,SUMIFS(PEMBAYARAN!$E$4:$E$500,PEMBAYARAN!$A$4:$A$500,$B29,PEMBAYARAN!$B$4:$B$500,"Februari",PEMBAYARAN!$C$4:$C$500,"Minggu 4"),"")</f>
        <v>0</v>
      </c>
      <c r="G29" s="23" t="str">
        <f>IF(5&lt;=$D$2,SUMIFS(PEMBAYARAN!$E$4:$E$500,PEMBAYARAN!$A$4:$A$500,$B29,PEMBAYARAN!$B$4:$B$500,"Februari",PEMBAYARAN!$C$4:$C$500,"Minggu 5"),"")</f>
        <v/>
      </c>
      <c r="H29" s="23">
        <f t="shared" si="0"/>
        <v>20000</v>
      </c>
      <c r="I29" s="23">
        <f t="shared" si="1"/>
        <v>0</v>
      </c>
      <c r="J29" s="23">
        <f t="shared" si="2"/>
        <v>20000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-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IF(1&lt;=$D$2,SUMIFS(PEMBAYARAN!$E$4:$E$500,PEMBAYARAN!$A$4:$A$500,$B30,PEMBAYARAN!$B$4:$B$500,"Februari",PEMBAYARAN!$C$4:$C$500,"Minggu 1"),"")</f>
        <v>0</v>
      </c>
      <c r="D30" s="23">
        <f>IF(2&lt;=$D$2,SUMIFS(PEMBAYARAN!$E$4:$E$500,PEMBAYARAN!$A$4:$A$500,$B30,PEMBAYARAN!$B$4:$B$500,"Februari",PEMBAYARAN!$C$4:$C$500,"Minggu 2"),"")</f>
        <v>0</v>
      </c>
      <c r="E30" s="23">
        <f>IF(3&lt;=$D$2,SUMIFS(PEMBAYARAN!$E$4:$E$500,PEMBAYARAN!$A$4:$A$500,$B30,PEMBAYARAN!$B$4:$B$500,"Februari",PEMBAYARAN!$C$4:$C$500,"Minggu 3"),"")</f>
        <v>0</v>
      </c>
      <c r="F30" s="23">
        <f>IF(4&lt;=$D$2,SUMIFS(PEMBAYARAN!$E$4:$E$500,PEMBAYARAN!$A$4:$A$500,$B30,PEMBAYARAN!$B$4:$B$500,"Februari",PEMBAYARAN!$C$4:$C$500,"Minggu 4"),"")</f>
        <v>0</v>
      </c>
      <c r="G30" s="23" t="str">
        <f>IF(5&lt;=$D$2,SUMIFS(PEMBAYARAN!$E$4:$E$500,PEMBAYARAN!$A$4:$A$500,$B30,PEMBAYARAN!$B$4:$B$500,"Februari",PEMBAYARAN!$C$4:$C$500,"Minggu 5"),"")</f>
        <v/>
      </c>
      <c r="H30" s="23">
        <f t="shared" si="0"/>
        <v>20000</v>
      </c>
      <c r="I30" s="23">
        <f t="shared" si="1"/>
        <v>0</v>
      </c>
      <c r="J30" s="23">
        <f t="shared" si="2"/>
        <v>20000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-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IF(1&lt;=$D$2,SUMIFS(PEMBAYARAN!$E$4:$E$500,PEMBAYARAN!$A$4:$A$500,$B31,PEMBAYARAN!$B$4:$B$500,"Februari",PEMBAYARAN!$C$4:$C$500,"Minggu 1"),"")</f>
        <v>0</v>
      </c>
      <c r="D31" s="23">
        <f>IF(2&lt;=$D$2,SUMIFS(PEMBAYARAN!$E$4:$E$500,PEMBAYARAN!$A$4:$A$500,$B31,PEMBAYARAN!$B$4:$B$500,"Februari",PEMBAYARAN!$C$4:$C$500,"Minggu 2"),"")</f>
        <v>0</v>
      </c>
      <c r="E31" s="23">
        <f>IF(3&lt;=$D$2,SUMIFS(PEMBAYARAN!$E$4:$E$500,PEMBAYARAN!$A$4:$A$500,$B31,PEMBAYARAN!$B$4:$B$500,"Februari",PEMBAYARAN!$C$4:$C$500,"Minggu 3"),"")</f>
        <v>0</v>
      </c>
      <c r="F31" s="23">
        <f>IF(4&lt;=$D$2,SUMIFS(PEMBAYARAN!$E$4:$E$500,PEMBAYARAN!$A$4:$A$500,$B31,PEMBAYARAN!$B$4:$B$500,"Februari",PEMBAYARAN!$C$4:$C$500,"Minggu 4"),"")</f>
        <v>0</v>
      </c>
      <c r="G31" s="23" t="str">
        <f>IF(5&lt;=$D$2,SUMIFS(PEMBAYARAN!$E$4:$E$500,PEMBAYARAN!$A$4:$A$500,$B31,PEMBAYARAN!$B$4:$B$500,"Februari",PEMBAYARAN!$C$4:$C$500,"Minggu 5"),"")</f>
        <v/>
      </c>
      <c r="H31" s="23">
        <f t="shared" si="0"/>
        <v>20000</v>
      </c>
      <c r="I31" s="23">
        <f t="shared" si="1"/>
        <v>0</v>
      </c>
      <c r="J31" s="23">
        <f t="shared" si="2"/>
        <v>20000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-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IF(1&lt;=$D$2,SUMIFS(PEMBAYARAN!$E$4:$E$500,PEMBAYARAN!$A$4:$A$500,$B32,PEMBAYARAN!$B$4:$B$500,"Februari",PEMBAYARAN!$C$4:$C$500,"Minggu 1"),"")</f>
        <v>0</v>
      </c>
      <c r="D32" s="23">
        <f>IF(2&lt;=$D$2,SUMIFS(PEMBAYARAN!$E$4:$E$500,PEMBAYARAN!$A$4:$A$500,$B32,PEMBAYARAN!$B$4:$B$500,"Februari",PEMBAYARAN!$C$4:$C$500,"Minggu 2"),"")</f>
        <v>0</v>
      </c>
      <c r="E32" s="23">
        <f>IF(3&lt;=$D$2,SUMIFS(PEMBAYARAN!$E$4:$E$500,PEMBAYARAN!$A$4:$A$500,$B32,PEMBAYARAN!$B$4:$B$500,"Februari",PEMBAYARAN!$C$4:$C$500,"Minggu 3"),"")</f>
        <v>0</v>
      </c>
      <c r="F32" s="23">
        <f>IF(4&lt;=$D$2,SUMIFS(PEMBAYARAN!$E$4:$E$500,PEMBAYARAN!$A$4:$A$500,$B32,PEMBAYARAN!$B$4:$B$500,"Februari",PEMBAYARAN!$C$4:$C$500,"Minggu 4"),"")</f>
        <v>0</v>
      </c>
      <c r="G32" s="23" t="str">
        <f>IF(5&lt;=$D$2,SUMIFS(PEMBAYARAN!$E$4:$E$500,PEMBAYARAN!$A$4:$A$500,$B32,PEMBAYARAN!$B$4:$B$500,"Februari",PEMBAYARAN!$C$4:$C$500,"Minggu 5"),"")</f>
        <v/>
      </c>
      <c r="H32" s="23">
        <f t="shared" si="0"/>
        <v>20000</v>
      </c>
      <c r="I32" s="23">
        <f t="shared" si="1"/>
        <v>0</v>
      </c>
      <c r="J32" s="23">
        <f t="shared" si="2"/>
        <v>20000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-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IF(1&lt;=$D$2,SUMIFS(PEMBAYARAN!$E$4:$E$500,PEMBAYARAN!$A$4:$A$500,$B33,PEMBAYARAN!$B$4:$B$500,"Februari",PEMBAYARAN!$C$4:$C$500,"Minggu 1"),"")</f>
        <v>0</v>
      </c>
      <c r="D33" s="23">
        <f>IF(2&lt;=$D$2,SUMIFS(PEMBAYARAN!$E$4:$E$500,PEMBAYARAN!$A$4:$A$500,$B33,PEMBAYARAN!$B$4:$B$500,"Februari",PEMBAYARAN!$C$4:$C$500,"Minggu 2"),"")</f>
        <v>0</v>
      </c>
      <c r="E33" s="23">
        <f>IF(3&lt;=$D$2,SUMIFS(PEMBAYARAN!$E$4:$E$500,PEMBAYARAN!$A$4:$A$500,$B33,PEMBAYARAN!$B$4:$B$500,"Februari",PEMBAYARAN!$C$4:$C$500,"Minggu 3"),"")</f>
        <v>0</v>
      </c>
      <c r="F33" s="23">
        <f>IF(4&lt;=$D$2,SUMIFS(PEMBAYARAN!$E$4:$E$500,PEMBAYARAN!$A$4:$A$500,$B33,PEMBAYARAN!$B$4:$B$500,"Februari",PEMBAYARAN!$C$4:$C$500,"Minggu 4"),"")</f>
        <v>0</v>
      </c>
      <c r="G33" s="23" t="str">
        <f>IF(5&lt;=$D$2,SUMIFS(PEMBAYARAN!$E$4:$E$500,PEMBAYARAN!$A$4:$A$500,$B33,PEMBAYARAN!$B$4:$B$500,"Februari",PEMBAYARAN!$C$4:$C$500,"Minggu 5"),"")</f>
        <v/>
      </c>
      <c r="H33" s="23">
        <f t="shared" si="0"/>
        <v>20000</v>
      </c>
      <c r="I33" s="23">
        <f t="shared" si="1"/>
        <v>0</v>
      </c>
      <c r="J33" s="23">
        <f t="shared" si="2"/>
        <v>20000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-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IF(1&lt;=$D$2,SUMIFS(PEMBAYARAN!$E$4:$E$500,PEMBAYARAN!$A$4:$A$500,$B34,PEMBAYARAN!$B$4:$B$500,"Februari",PEMBAYARAN!$C$4:$C$500,"Minggu 1"),"")</f>
        <v>0</v>
      </c>
      <c r="D34" s="23">
        <f>IF(2&lt;=$D$2,SUMIFS(PEMBAYARAN!$E$4:$E$500,PEMBAYARAN!$A$4:$A$500,$B34,PEMBAYARAN!$B$4:$B$500,"Februari",PEMBAYARAN!$C$4:$C$500,"Minggu 2"),"")</f>
        <v>0</v>
      </c>
      <c r="E34" s="23">
        <f>IF(3&lt;=$D$2,SUMIFS(PEMBAYARAN!$E$4:$E$500,PEMBAYARAN!$A$4:$A$500,$B34,PEMBAYARAN!$B$4:$B$500,"Februari",PEMBAYARAN!$C$4:$C$500,"Minggu 3"),"")</f>
        <v>0</v>
      </c>
      <c r="F34" s="23">
        <f>IF(4&lt;=$D$2,SUMIFS(PEMBAYARAN!$E$4:$E$500,PEMBAYARAN!$A$4:$A$500,$B34,PEMBAYARAN!$B$4:$B$500,"Februari",PEMBAYARAN!$C$4:$C$500,"Minggu 4"),"")</f>
        <v>0</v>
      </c>
      <c r="G34" s="23" t="str">
        <f>IF(5&lt;=$D$2,SUMIFS(PEMBAYARAN!$E$4:$E$500,PEMBAYARAN!$A$4:$A$500,$B34,PEMBAYARAN!$B$4:$B$500,"Februari",PEMBAYARAN!$C$4:$C$500,"Minggu 5"),"")</f>
        <v/>
      </c>
      <c r="H34" s="23">
        <f t="shared" si="0"/>
        <v>20000</v>
      </c>
      <c r="I34" s="23">
        <f t="shared" si="1"/>
        <v>0</v>
      </c>
      <c r="J34" s="23">
        <f t="shared" si="2"/>
        <v>20000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-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IF(1&lt;=$D$2,SUMIFS(PEMBAYARAN!$E$4:$E$500,PEMBAYARAN!$A$4:$A$500,$B35,PEMBAYARAN!$B$4:$B$500,"Februari",PEMBAYARAN!$C$4:$C$500,"Minggu 1"),"")</f>
        <v>0</v>
      </c>
      <c r="D35" s="23">
        <f>IF(2&lt;=$D$2,SUMIFS(PEMBAYARAN!$E$4:$E$500,PEMBAYARAN!$A$4:$A$500,$B35,PEMBAYARAN!$B$4:$B$500,"Februari",PEMBAYARAN!$C$4:$C$500,"Minggu 2"),"")</f>
        <v>0</v>
      </c>
      <c r="E35" s="23">
        <f>IF(3&lt;=$D$2,SUMIFS(PEMBAYARAN!$E$4:$E$500,PEMBAYARAN!$A$4:$A$500,$B35,PEMBAYARAN!$B$4:$B$500,"Februari",PEMBAYARAN!$C$4:$C$500,"Minggu 3"),"")</f>
        <v>0</v>
      </c>
      <c r="F35" s="23">
        <f>IF(4&lt;=$D$2,SUMIFS(PEMBAYARAN!$E$4:$E$500,PEMBAYARAN!$A$4:$A$500,$B35,PEMBAYARAN!$B$4:$B$500,"Februari",PEMBAYARAN!$C$4:$C$500,"Minggu 4"),"")</f>
        <v>0</v>
      </c>
      <c r="G35" s="23" t="str">
        <f>IF(5&lt;=$D$2,SUMIFS(PEMBAYARAN!$E$4:$E$500,PEMBAYARAN!$A$4:$A$500,$B35,PEMBAYARAN!$B$4:$B$500,"Februari",PEMBAYARAN!$C$4:$C$500,"Minggu 5"),"")</f>
        <v/>
      </c>
      <c r="H35" s="23">
        <f t="shared" si="0"/>
        <v>20000</v>
      </c>
      <c r="I35" s="23">
        <f t="shared" si="1"/>
        <v>0</v>
      </c>
      <c r="J35" s="23">
        <f t="shared" si="2"/>
        <v>20000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-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IF(1&lt;=$D$2,SUMIFS(PEMBAYARAN!$E$4:$E$500,PEMBAYARAN!$A$4:$A$500,$B36,PEMBAYARAN!$B$4:$B$500,"Februari",PEMBAYARAN!$C$4:$C$500,"Minggu 1"),"")</f>
        <v>0</v>
      </c>
      <c r="D36" s="23">
        <f>IF(2&lt;=$D$2,SUMIFS(PEMBAYARAN!$E$4:$E$500,PEMBAYARAN!$A$4:$A$500,$B36,PEMBAYARAN!$B$4:$B$500,"Februari",PEMBAYARAN!$C$4:$C$500,"Minggu 2"),"")</f>
        <v>0</v>
      </c>
      <c r="E36" s="23">
        <f>IF(3&lt;=$D$2,SUMIFS(PEMBAYARAN!$E$4:$E$500,PEMBAYARAN!$A$4:$A$500,$B36,PEMBAYARAN!$B$4:$B$500,"Februari",PEMBAYARAN!$C$4:$C$500,"Minggu 3"),"")</f>
        <v>0</v>
      </c>
      <c r="F36" s="23">
        <f>IF(4&lt;=$D$2,SUMIFS(PEMBAYARAN!$E$4:$E$500,PEMBAYARAN!$A$4:$A$500,$B36,PEMBAYARAN!$B$4:$B$500,"Februari",PEMBAYARAN!$C$4:$C$500,"Minggu 4"),"")</f>
        <v>0</v>
      </c>
      <c r="G36" s="23" t="str">
        <f>IF(5&lt;=$D$2,SUMIFS(PEMBAYARAN!$E$4:$E$500,PEMBAYARAN!$A$4:$A$500,$B36,PEMBAYARAN!$B$4:$B$500,"Februari",PEMBAYARAN!$C$4:$C$500,"Minggu 5"),"")</f>
        <v/>
      </c>
      <c r="H36" s="23">
        <f t="shared" si="0"/>
        <v>20000</v>
      </c>
      <c r="I36" s="23">
        <f t="shared" si="1"/>
        <v>0</v>
      </c>
      <c r="J36" s="23">
        <f t="shared" si="2"/>
        <v>20000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-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IF(1&lt;=$D$2,SUMIFS(PEMBAYARAN!$E$4:$E$500,PEMBAYARAN!$A$4:$A$500,$B37,PEMBAYARAN!$B$4:$B$500,"Februari",PEMBAYARAN!$C$4:$C$500,"Minggu 1"),"")</f>
        <v>0</v>
      </c>
      <c r="D37" s="23">
        <f>IF(2&lt;=$D$2,SUMIFS(PEMBAYARAN!$E$4:$E$500,PEMBAYARAN!$A$4:$A$500,$B37,PEMBAYARAN!$B$4:$B$500,"Februari",PEMBAYARAN!$C$4:$C$500,"Minggu 2"),"")</f>
        <v>0</v>
      </c>
      <c r="E37" s="23">
        <f>IF(3&lt;=$D$2,SUMIFS(PEMBAYARAN!$E$4:$E$500,PEMBAYARAN!$A$4:$A$500,$B37,PEMBAYARAN!$B$4:$B$500,"Februari",PEMBAYARAN!$C$4:$C$500,"Minggu 3"),"")</f>
        <v>0</v>
      </c>
      <c r="F37" s="23">
        <f>IF(4&lt;=$D$2,SUMIFS(PEMBAYARAN!$E$4:$E$500,PEMBAYARAN!$A$4:$A$500,$B37,PEMBAYARAN!$B$4:$B$500,"Februari",PEMBAYARAN!$C$4:$C$500,"Minggu 4"),"")</f>
        <v>0</v>
      </c>
      <c r="G37" s="23" t="str">
        <f>IF(5&lt;=$D$2,SUMIFS(PEMBAYARAN!$E$4:$E$500,PEMBAYARAN!$A$4:$A$500,$B37,PEMBAYARAN!$B$4:$B$500,"Februari",PEMBAYARAN!$C$4:$C$500,"Minggu 5"),"")</f>
        <v/>
      </c>
      <c r="H37" s="23">
        <f t="shared" si="0"/>
        <v>20000</v>
      </c>
      <c r="I37" s="23">
        <f t="shared" si="1"/>
        <v>0</v>
      </c>
      <c r="J37" s="23">
        <f t="shared" si="2"/>
        <v>20000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-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IF(1&lt;=$D$2,SUMIFS(PEMBAYARAN!$E$4:$E$500,PEMBAYARAN!$A$4:$A$500,$B38,PEMBAYARAN!$B$4:$B$500,"Februari",PEMBAYARAN!$C$4:$C$500,"Minggu 1"),"")</f>
        <v>0</v>
      </c>
      <c r="D38" s="23">
        <f>IF(2&lt;=$D$2,SUMIFS(PEMBAYARAN!$E$4:$E$500,PEMBAYARAN!$A$4:$A$500,$B38,PEMBAYARAN!$B$4:$B$500,"Februari",PEMBAYARAN!$C$4:$C$500,"Minggu 2"),"")</f>
        <v>0</v>
      </c>
      <c r="E38" s="23">
        <f>IF(3&lt;=$D$2,SUMIFS(PEMBAYARAN!$E$4:$E$500,PEMBAYARAN!$A$4:$A$500,$B38,PEMBAYARAN!$B$4:$B$500,"Februari",PEMBAYARAN!$C$4:$C$500,"Minggu 3"),"")</f>
        <v>0</v>
      </c>
      <c r="F38" s="23">
        <f>IF(4&lt;=$D$2,SUMIFS(PEMBAYARAN!$E$4:$E$500,PEMBAYARAN!$A$4:$A$500,$B38,PEMBAYARAN!$B$4:$B$500,"Februari",PEMBAYARAN!$C$4:$C$500,"Minggu 4"),"")</f>
        <v>0</v>
      </c>
      <c r="G38" s="23" t="str">
        <f>IF(5&lt;=$D$2,SUMIFS(PEMBAYARAN!$E$4:$E$500,PEMBAYARAN!$A$4:$A$500,$B38,PEMBAYARAN!$B$4:$B$500,"Februari",PEMBAYARAN!$C$4:$C$500,"Minggu 5"),"")</f>
        <v/>
      </c>
      <c r="H38" s="23">
        <f t="shared" si="0"/>
        <v>20000</v>
      </c>
      <c r="I38" s="23">
        <f t="shared" si="1"/>
        <v>0</v>
      </c>
      <c r="J38" s="23">
        <f t="shared" si="2"/>
        <v>20000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-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IF(1&lt;=$D$2,SUMIFS(PEMBAYARAN!$E$4:$E$500,PEMBAYARAN!$A$4:$A$500,$B39,PEMBAYARAN!$B$4:$B$500,"Februari",PEMBAYARAN!$C$4:$C$500,"Minggu 1"),"")</f>
        <v>0</v>
      </c>
      <c r="D39" s="23">
        <f>IF(2&lt;=$D$2,SUMIFS(PEMBAYARAN!$E$4:$E$500,PEMBAYARAN!$A$4:$A$500,$B39,PEMBAYARAN!$B$4:$B$500,"Februari",PEMBAYARAN!$C$4:$C$500,"Minggu 2"),"")</f>
        <v>0</v>
      </c>
      <c r="E39" s="23">
        <f>IF(3&lt;=$D$2,SUMIFS(PEMBAYARAN!$E$4:$E$500,PEMBAYARAN!$A$4:$A$500,$B39,PEMBAYARAN!$B$4:$B$500,"Februari",PEMBAYARAN!$C$4:$C$500,"Minggu 3"),"")</f>
        <v>0</v>
      </c>
      <c r="F39" s="23">
        <f>IF(4&lt;=$D$2,SUMIFS(PEMBAYARAN!$E$4:$E$500,PEMBAYARAN!$A$4:$A$500,$B39,PEMBAYARAN!$B$4:$B$500,"Februari",PEMBAYARAN!$C$4:$C$500,"Minggu 4"),"")</f>
        <v>0</v>
      </c>
      <c r="G39" s="23" t="str">
        <f>IF(5&lt;=$D$2,SUMIFS(PEMBAYARAN!$E$4:$E$500,PEMBAYARAN!$A$4:$A$500,$B39,PEMBAYARAN!$B$4:$B$500,"Februari",PEMBAYARAN!$C$4:$C$500,"Minggu 5"),"")</f>
        <v/>
      </c>
      <c r="H39" s="23">
        <f t="shared" si="0"/>
        <v>20000</v>
      </c>
      <c r="I39" s="23">
        <f t="shared" si="1"/>
        <v>0</v>
      </c>
      <c r="J39" s="23">
        <f t="shared" si="2"/>
        <v>20000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-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IF(1&lt;=$D$2,SUMIFS(PEMBAYARAN!$E$4:$E$500,PEMBAYARAN!$A$4:$A$500,$B40,PEMBAYARAN!$B$4:$B$500,"Februari",PEMBAYARAN!$C$4:$C$500,"Minggu 1"),"")</f>
        <v>0</v>
      </c>
      <c r="D40" s="23">
        <f>IF(2&lt;=$D$2,SUMIFS(PEMBAYARAN!$E$4:$E$500,PEMBAYARAN!$A$4:$A$500,$B40,PEMBAYARAN!$B$4:$B$500,"Februari",PEMBAYARAN!$C$4:$C$500,"Minggu 2"),"")</f>
        <v>0</v>
      </c>
      <c r="E40" s="23">
        <f>IF(3&lt;=$D$2,SUMIFS(PEMBAYARAN!$E$4:$E$500,PEMBAYARAN!$A$4:$A$500,$B40,PEMBAYARAN!$B$4:$B$500,"Februari",PEMBAYARAN!$C$4:$C$500,"Minggu 3"),"")</f>
        <v>0</v>
      </c>
      <c r="F40" s="23">
        <f>IF(4&lt;=$D$2,SUMIFS(PEMBAYARAN!$E$4:$E$500,PEMBAYARAN!$A$4:$A$500,$B40,PEMBAYARAN!$B$4:$B$500,"Februari",PEMBAYARAN!$C$4:$C$500,"Minggu 4"),"")</f>
        <v>0</v>
      </c>
      <c r="G40" s="23" t="str">
        <f>IF(5&lt;=$D$2,SUMIFS(PEMBAYARAN!$E$4:$E$500,PEMBAYARAN!$A$4:$A$500,$B40,PEMBAYARAN!$B$4:$B$500,"Februari",PEMBAYARAN!$C$4:$C$500,"Minggu 5"),"")</f>
        <v/>
      </c>
      <c r="H40" s="23">
        <f t="shared" si="0"/>
        <v>20000</v>
      </c>
      <c r="I40" s="23">
        <f t="shared" si="1"/>
        <v>0</v>
      </c>
      <c r="J40" s="23">
        <f t="shared" si="2"/>
        <v>20000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-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IF(1&lt;=$D$2,SUMIFS(PEMBAYARAN!$E$4:$E$500,PEMBAYARAN!$A$4:$A$500,$B41,PEMBAYARAN!$B$4:$B$500,"Februari",PEMBAYARAN!$C$4:$C$500,"Minggu 1"),"")</f>
        <v>0</v>
      </c>
      <c r="D41" s="23">
        <f>IF(2&lt;=$D$2,SUMIFS(PEMBAYARAN!$E$4:$E$500,PEMBAYARAN!$A$4:$A$500,$B41,PEMBAYARAN!$B$4:$B$500,"Februari",PEMBAYARAN!$C$4:$C$500,"Minggu 2"),"")</f>
        <v>0</v>
      </c>
      <c r="E41" s="23">
        <f>IF(3&lt;=$D$2,SUMIFS(PEMBAYARAN!$E$4:$E$500,PEMBAYARAN!$A$4:$A$500,$B41,PEMBAYARAN!$B$4:$B$500,"Februari",PEMBAYARAN!$C$4:$C$500,"Minggu 3"),"")</f>
        <v>0</v>
      </c>
      <c r="F41" s="23">
        <f>IF(4&lt;=$D$2,SUMIFS(PEMBAYARAN!$E$4:$E$500,PEMBAYARAN!$A$4:$A$500,$B41,PEMBAYARAN!$B$4:$B$500,"Februari",PEMBAYARAN!$C$4:$C$500,"Minggu 4"),"")</f>
        <v>0</v>
      </c>
      <c r="G41" s="23" t="str">
        <f>IF(5&lt;=$D$2,SUMIFS(PEMBAYARAN!$E$4:$E$500,PEMBAYARAN!$A$4:$A$500,$B41,PEMBAYARAN!$B$4:$B$500,"Februari",PEMBAYARAN!$C$4:$C$500,"Minggu 5"),"")</f>
        <v/>
      </c>
      <c r="H41" s="23">
        <f t="shared" si="0"/>
        <v>20000</v>
      </c>
      <c r="I41" s="23">
        <f t="shared" si="1"/>
        <v>0</v>
      </c>
      <c r="J41" s="23">
        <f t="shared" si="2"/>
        <v>20000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-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IF(1&lt;=$D$2,SUMIFS(PEMBAYARAN!$E$4:$E$500,PEMBAYARAN!$A$4:$A$500,$B42,PEMBAYARAN!$B$4:$B$500,"Februari",PEMBAYARAN!$C$4:$C$500,"Minggu 1"),"")</f>
        <v>0</v>
      </c>
      <c r="D42" s="23">
        <f>IF(2&lt;=$D$2,SUMIFS(PEMBAYARAN!$E$4:$E$500,PEMBAYARAN!$A$4:$A$500,$B42,PEMBAYARAN!$B$4:$B$500,"Februari",PEMBAYARAN!$C$4:$C$500,"Minggu 2"),"")</f>
        <v>0</v>
      </c>
      <c r="E42" s="23">
        <f>IF(3&lt;=$D$2,SUMIFS(PEMBAYARAN!$E$4:$E$500,PEMBAYARAN!$A$4:$A$500,$B42,PEMBAYARAN!$B$4:$B$500,"Februari",PEMBAYARAN!$C$4:$C$500,"Minggu 3"),"")</f>
        <v>0</v>
      </c>
      <c r="F42" s="23">
        <f>IF(4&lt;=$D$2,SUMIFS(PEMBAYARAN!$E$4:$E$500,PEMBAYARAN!$A$4:$A$500,$B42,PEMBAYARAN!$B$4:$B$500,"Februari",PEMBAYARAN!$C$4:$C$500,"Minggu 4"),"")</f>
        <v>0</v>
      </c>
      <c r="G42" s="23" t="str">
        <f>IF(5&lt;=$D$2,SUMIFS(PEMBAYARAN!$E$4:$E$500,PEMBAYARAN!$A$4:$A$500,$B42,PEMBAYARAN!$B$4:$B$500,"Februari",PEMBAYARAN!$C$4:$C$500,"Minggu 5"),"")</f>
        <v/>
      </c>
      <c r="H42" s="23">
        <f t="shared" si="0"/>
        <v>20000</v>
      </c>
      <c r="I42" s="23">
        <f t="shared" si="1"/>
        <v>0</v>
      </c>
      <c r="J42" s="23">
        <f t="shared" si="2"/>
        <v>20000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-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IF(1&lt;=$D$2,SUMIFS(PEMBAYARAN!$E$4:$E$500,PEMBAYARAN!$A$4:$A$500,$B43,PEMBAYARAN!$B$4:$B$500,"Februari",PEMBAYARAN!$C$4:$C$500,"Minggu 1"),"")</f>
        <v>0</v>
      </c>
      <c r="D43" s="23">
        <f>IF(2&lt;=$D$2,SUMIFS(PEMBAYARAN!$E$4:$E$500,PEMBAYARAN!$A$4:$A$500,$B43,PEMBAYARAN!$B$4:$B$500,"Februari",PEMBAYARAN!$C$4:$C$500,"Minggu 2"),"")</f>
        <v>0</v>
      </c>
      <c r="E43" s="23">
        <f>IF(3&lt;=$D$2,SUMIFS(PEMBAYARAN!$E$4:$E$500,PEMBAYARAN!$A$4:$A$500,$B43,PEMBAYARAN!$B$4:$B$500,"Februari",PEMBAYARAN!$C$4:$C$500,"Minggu 3"),"")</f>
        <v>0</v>
      </c>
      <c r="F43" s="23">
        <f>IF(4&lt;=$D$2,SUMIFS(PEMBAYARAN!$E$4:$E$500,PEMBAYARAN!$A$4:$A$500,$B43,PEMBAYARAN!$B$4:$B$500,"Februari",PEMBAYARAN!$C$4:$C$500,"Minggu 4"),"")</f>
        <v>0</v>
      </c>
      <c r="G43" s="23" t="str">
        <f>IF(5&lt;=$D$2,SUMIFS(PEMBAYARAN!$E$4:$E$500,PEMBAYARAN!$A$4:$A$500,$B43,PEMBAYARAN!$B$4:$B$500,"Februari",PEMBAYARAN!$C$4:$C$500,"Minggu 5"),"")</f>
        <v/>
      </c>
      <c r="H43" s="23">
        <f t="shared" si="0"/>
        <v>20000</v>
      </c>
      <c r="I43" s="23">
        <f t="shared" si="1"/>
        <v>0</v>
      </c>
      <c r="J43" s="23">
        <f t="shared" si="2"/>
        <v>20000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-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IF(1&lt;=$D$2,SUMIFS(PEMBAYARAN!$E$4:$E$500,PEMBAYARAN!$A$4:$A$500,$B44,PEMBAYARAN!$B$4:$B$500,"Februari",PEMBAYARAN!$C$4:$C$500,"Minggu 1"),"")</f>
        <v>0</v>
      </c>
      <c r="D44" s="23">
        <f>IF(2&lt;=$D$2,SUMIFS(PEMBAYARAN!$E$4:$E$500,PEMBAYARAN!$A$4:$A$500,$B44,PEMBAYARAN!$B$4:$B$500,"Februari",PEMBAYARAN!$C$4:$C$500,"Minggu 2"),"")</f>
        <v>0</v>
      </c>
      <c r="E44" s="23">
        <f>IF(3&lt;=$D$2,SUMIFS(PEMBAYARAN!$E$4:$E$500,PEMBAYARAN!$A$4:$A$500,$B44,PEMBAYARAN!$B$4:$B$500,"Februari",PEMBAYARAN!$C$4:$C$500,"Minggu 3"),"")</f>
        <v>0</v>
      </c>
      <c r="F44" s="23">
        <f>IF(4&lt;=$D$2,SUMIFS(PEMBAYARAN!$E$4:$E$500,PEMBAYARAN!$A$4:$A$500,$B44,PEMBAYARAN!$B$4:$B$500,"Februari",PEMBAYARAN!$C$4:$C$500,"Minggu 4"),"")</f>
        <v>0</v>
      </c>
      <c r="G44" s="23" t="str">
        <f>IF(5&lt;=$D$2,SUMIFS(PEMBAYARAN!$E$4:$E$500,PEMBAYARAN!$A$4:$A$500,$B44,PEMBAYARAN!$B$4:$B$500,"Februari",PEMBAYARAN!$C$4:$C$500,"Minggu 5"),"")</f>
        <v/>
      </c>
      <c r="H44" s="23">
        <f t="shared" si="0"/>
        <v>20000</v>
      </c>
      <c r="I44" s="23">
        <f t="shared" si="1"/>
        <v>0</v>
      </c>
      <c r="J44" s="23">
        <f t="shared" si="2"/>
        <v>20000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-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IF(1&lt;=$D$2,SUMIFS(PEMBAYARAN!$E$4:$E$500,PEMBAYARAN!$A$4:$A$500,$B45,PEMBAYARAN!$B$4:$B$500,"Februari",PEMBAYARAN!$C$4:$C$500,"Minggu 1"),"")</f>
        <v>0</v>
      </c>
      <c r="D45" s="23">
        <f>IF(2&lt;=$D$2,SUMIFS(PEMBAYARAN!$E$4:$E$500,PEMBAYARAN!$A$4:$A$500,$B45,PEMBAYARAN!$B$4:$B$500,"Februari",PEMBAYARAN!$C$4:$C$500,"Minggu 2"),"")</f>
        <v>0</v>
      </c>
      <c r="E45" s="23">
        <f>IF(3&lt;=$D$2,SUMIFS(PEMBAYARAN!$E$4:$E$500,PEMBAYARAN!$A$4:$A$500,$B45,PEMBAYARAN!$B$4:$B$500,"Februari",PEMBAYARAN!$C$4:$C$500,"Minggu 3"),"")</f>
        <v>0</v>
      </c>
      <c r="F45" s="23">
        <f>IF(4&lt;=$D$2,SUMIFS(PEMBAYARAN!$E$4:$E$500,PEMBAYARAN!$A$4:$A$500,$B45,PEMBAYARAN!$B$4:$B$500,"Februari",PEMBAYARAN!$C$4:$C$500,"Minggu 4"),"")</f>
        <v>0</v>
      </c>
      <c r="G45" s="23" t="str">
        <f>IF(5&lt;=$D$2,SUMIFS(PEMBAYARAN!$E$4:$E$500,PEMBAYARAN!$A$4:$A$500,$B45,PEMBAYARAN!$B$4:$B$500,"Februari",PEMBAYARAN!$C$4:$C$500,"Minggu 5"),"")</f>
        <v/>
      </c>
      <c r="H45" s="23">
        <f t="shared" si="0"/>
        <v>20000</v>
      </c>
      <c r="I45" s="23">
        <f t="shared" si="1"/>
        <v>0</v>
      </c>
      <c r="J45" s="23">
        <f t="shared" si="2"/>
        <v>20000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-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820000</v>
      </c>
      <c r="I47" s="31">
        <f>SUM(I5:I45)</f>
        <v>0</v>
      </c>
      <c r="J47" s="31">
        <f>SUM(J5:J45)</f>
        <v>820000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A000000}"/>
  <mergeCells count="2">
    <mergeCell ref="A1:L1"/>
    <mergeCell ref="A2:C2"/>
  </mergeCells>
  <conditionalFormatting sqref="L5:L45">
    <cfRule type="expression" dxfId="17" priority="2">
      <formula>LEFT(L5,5)="LUNAS"</formula>
    </cfRule>
    <cfRule type="cellIs" dxfId="16" priority="3" operator="equal">
      <formula>"CICILAN"</formula>
    </cfRule>
    <cfRule type="cellIs" dxfId="15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168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5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IF(1&lt;=$D$2,SUMIFS(PEMBAYARAN!$E$4:$E$500,PEMBAYARAN!$A$4:$A$500,$B5,PEMBAYARAN!$B$4:$B$500,"Maret",PEMBAYARAN!$C$4:$C$500,"Minggu 1"),"")</f>
        <v>0</v>
      </c>
      <c r="D5" s="23">
        <f>IF(2&lt;=$D$2,SUMIFS(PEMBAYARAN!$E$4:$E$500,PEMBAYARAN!$A$4:$A$500,$B5,PEMBAYARAN!$B$4:$B$500,"Maret",PEMBAYARAN!$C$4:$C$500,"Minggu 2"),"")</f>
        <v>0</v>
      </c>
      <c r="E5" s="23">
        <f>IF(3&lt;=$D$2,SUMIFS(PEMBAYARAN!$E$4:$E$500,PEMBAYARAN!$A$4:$A$500,$B5,PEMBAYARAN!$B$4:$B$500,"Maret",PEMBAYARAN!$C$4:$C$500,"Minggu 3"),"")</f>
        <v>0</v>
      </c>
      <c r="F5" s="23">
        <f>IF(4&lt;=$D$2,SUMIFS(PEMBAYARAN!$E$4:$E$500,PEMBAYARAN!$A$4:$A$500,$B5,PEMBAYARAN!$B$4:$B$500,"Maret",PEMBAYARAN!$C$4:$C$500,"Minggu 4"),"")</f>
        <v>0</v>
      </c>
      <c r="G5" s="23">
        <f>IF(5&lt;=$D$2,SUMIFS(PEMBAYARAN!$E$4:$E$500,PEMBAYARAN!$A$4:$A$500,$B5,PEMBAYARAN!$B$4:$B$500,"Maret",PEMBAYARAN!$C$4:$C$500,"Minggu 5"),"")</f>
        <v>0</v>
      </c>
      <c r="H5" s="23">
        <f t="shared" ref="H5:H45" si="0">MIN($D$2,5)*$F$2</f>
        <v>25000</v>
      </c>
      <c r="I5" s="23">
        <f t="shared" ref="I5:I45" si="1">SUM(C5:G5)</f>
        <v>0</v>
      </c>
      <c r="J5" s="23">
        <f t="shared" ref="J5:J45" si="2">MAX(H5-I5,0)</f>
        <v>25000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BELUM BAYAR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IF(1&lt;=$D$2,SUMIFS(PEMBAYARAN!$E$4:$E$500,PEMBAYARAN!$A$4:$A$500,$B6,PEMBAYARAN!$B$4:$B$500,"Maret",PEMBAYARAN!$C$4:$C$500,"Minggu 1"),"")</f>
        <v>0</v>
      </c>
      <c r="D6" s="23">
        <f>IF(2&lt;=$D$2,SUMIFS(PEMBAYARAN!$E$4:$E$500,PEMBAYARAN!$A$4:$A$500,$B6,PEMBAYARAN!$B$4:$B$500,"Maret",PEMBAYARAN!$C$4:$C$500,"Minggu 2"),"")</f>
        <v>0</v>
      </c>
      <c r="E6" s="23">
        <f>IF(3&lt;=$D$2,SUMIFS(PEMBAYARAN!$E$4:$E$500,PEMBAYARAN!$A$4:$A$500,$B6,PEMBAYARAN!$B$4:$B$500,"Maret",PEMBAYARAN!$C$4:$C$500,"Minggu 3"),"")</f>
        <v>0</v>
      </c>
      <c r="F6" s="23">
        <f>IF(4&lt;=$D$2,SUMIFS(PEMBAYARAN!$E$4:$E$500,PEMBAYARAN!$A$4:$A$500,$B6,PEMBAYARAN!$B$4:$B$500,"Maret",PEMBAYARAN!$C$4:$C$500,"Minggu 4"),"")</f>
        <v>0</v>
      </c>
      <c r="G6" s="23">
        <f>IF(5&lt;=$D$2,SUMIFS(PEMBAYARAN!$E$4:$E$500,PEMBAYARAN!$A$4:$A$500,$B6,PEMBAYARAN!$B$4:$B$500,"Maret",PEMBAYARAN!$C$4:$C$500,"Minggu 5"),"")</f>
        <v>0</v>
      </c>
      <c r="H6" s="23">
        <f t="shared" si="0"/>
        <v>25000</v>
      </c>
      <c r="I6" s="23">
        <f t="shared" si="1"/>
        <v>0</v>
      </c>
      <c r="J6" s="23">
        <f t="shared" si="2"/>
        <v>25000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BELUM BAYAR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IF(1&lt;=$D$2,SUMIFS(PEMBAYARAN!$E$4:$E$500,PEMBAYARAN!$A$4:$A$500,$B7,PEMBAYARAN!$B$4:$B$500,"Maret",PEMBAYARAN!$C$4:$C$500,"Minggu 1"),"")</f>
        <v>0</v>
      </c>
      <c r="D7" s="23">
        <f>IF(2&lt;=$D$2,SUMIFS(PEMBAYARAN!$E$4:$E$500,PEMBAYARAN!$A$4:$A$500,$B7,PEMBAYARAN!$B$4:$B$500,"Maret",PEMBAYARAN!$C$4:$C$500,"Minggu 2"),"")</f>
        <v>0</v>
      </c>
      <c r="E7" s="23">
        <f>IF(3&lt;=$D$2,SUMIFS(PEMBAYARAN!$E$4:$E$500,PEMBAYARAN!$A$4:$A$500,$B7,PEMBAYARAN!$B$4:$B$500,"Maret",PEMBAYARAN!$C$4:$C$500,"Minggu 3"),"")</f>
        <v>0</v>
      </c>
      <c r="F7" s="23">
        <f>IF(4&lt;=$D$2,SUMIFS(PEMBAYARAN!$E$4:$E$500,PEMBAYARAN!$A$4:$A$500,$B7,PEMBAYARAN!$B$4:$B$500,"Maret",PEMBAYARAN!$C$4:$C$500,"Minggu 4"),"")</f>
        <v>0</v>
      </c>
      <c r="G7" s="23">
        <f>IF(5&lt;=$D$2,SUMIFS(PEMBAYARAN!$E$4:$E$500,PEMBAYARAN!$A$4:$A$500,$B7,PEMBAYARAN!$B$4:$B$500,"Maret",PEMBAYARAN!$C$4:$C$500,"Minggu 5"),"")</f>
        <v>0</v>
      </c>
      <c r="H7" s="23">
        <f t="shared" si="0"/>
        <v>25000</v>
      </c>
      <c r="I7" s="23">
        <f t="shared" si="1"/>
        <v>0</v>
      </c>
      <c r="J7" s="23">
        <f t="shared" si="2"/>
        <v>25000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BELUM BAYAR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IF(1&lt;=$D$2,SUMIFS(PEMBAYARAN!$E$4:$E$500,PEMBAYARAN!$A$4:$A$500,$B8,PEMBAYARAN!$B$4:$B$500,"Maret",PEMBAYARAN!$C$4:$C$500,"Minggu 1"),"")</f>
        <v>0</v>
      </c>
      <c r="D8" s="23">
        <f>IF(2&lt;=$D$2,SUMIFS(PEMBAYARAN!$E$4:$E$500,PEMBAYARAN!$A$4:$A$500,$B8,PEMBAYARAN!$B$4:$B$500,"Maret",PEMBAYARAN!$C$4:$C$500,"Minggu 2"),"")</f>
        <v>0</v>
      </c>
      <c r="E8" s="23">
        <f>IF(3&lt;=$D$2,SUMIFS(PEMBAYARAN!$E$4:$E$500,PEMBAYARAN!$A$4:$A$500,$B8,PEMBAYARAN!$B$4:$B$500,"Maret",PEMBAYARAN!$C$4:$C$500,"Minggu 3"),"")</f>
        <v>0</v>
      </c>
      <c r="F8" s="23">
        <f>IF(4&lt;=$D$2,SUMIFS(PEMBAYARAN!$E$4:$E$500,PEMBAYARAN!$A$4:$A$500,$B8,PEMBAYARAN!$B$4:$B$500,"Maret",PEMBAYARAN!$C$4:$C$500,"Minggu 4"),"")</f>
        <v>0</v>
      </c>
      <c r="G8" s="23">
        <f>IF(5&lt;=$D$2,SUMIFS(PEMBAYARAN!$E$4:$E$500,PEMBAYARAN!$A$4:$A$500,$B8,PEMBAYARAN!$B$4:$B$500,"Maret",PEMBAYARAN!$C$4:$C$500,"Minggu 5"),"")</f>
        <v>0</v>
      </c>
      <c r="H8" s="23">
        <f t="shared" si="0"/>
        <v>25000</v>
      </c>
      <c r="I8" s="23">
        <f t="shared" si="1"/>
        <v>0</v>
      </c>
      <c r="J8" s="23">
        <f t="shared" si="2"/>
        <v>25000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BELUM BAYAR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IF(1&lt;=$D$2,SUMIFS(PEMBAYARAN!$E$4:$E$500,PEMBAYARAN!$A$4:$A$500,$B9,PEMBAYARAN!$B$4:$B$500,"Maret",PEMBAYARAN!$C$4:$C$500,"Minggu 1"),"")</f>
        <v>0</v>
      </c>
      <c r="D9" s="23">
        <f>IF(2&lt;=$D$2,SUMIFS(PEMBAYARAN!$E$4:$E$500,PEMBAYARAN!$A$4:$A$500,$B9,PEMBAYARAN!$B$4:$B$500,"Maret",PEMBAYARAN!$C$4:$C$500,"Minggu 2"),"")</f>
        <v>0</v>
      </c>
      <c r="E9" s="23">
        <f>IF(3&lt;=$D$2,SUMIFS(PEMBAYARAN!$E$4:$E$500,PEMBAYARAN!$A$4:$A$500,$B9,PEMBAYARAN!$B$4:$B$500,"Maret",PEMBAYARAN!$C$4:$C$500,"Minggu 3"),"")</f>
        <v>0</v>
      </c>
      <c r="F9" s="23">
        <f>IF(4&lt;=$D$2,SUMIFS(PEMBAYARAN!$E$4:$E$500,PEMBAYARAN!$A$4:$A$500,$B9,PEMBAYARAN!$B$4:$B$500,"Maret",PEMBAYARAN!$C$4:$C$500,"Minggu 4"),"")</f>
        <v>0</v>
      </c>
      <c r="G9" s="23">
        <f>IF(5&lt;=$D$2,SUMIFS(PEMBAYARAN!$E$4:$E$500,PEMBAYARAN!$A$4:$A$500,$B9,PEMBAYARAN!$B$4:$B$500,"Maret",PEMBAYARAN!$C$4:$C$500,"Minggu 5"),"")</f>
        <v>0</v>
      </c>
      <c r="H9" s="23">
        <f t="shared" si="0"/>
        <v>25000</v>
      </c>
      <c r="I9" s="23">
        <f t="shared" si="1"/>
        <v>0</v>
      </c>
      <c r="J9" s="23">
        <f t="shared" si="2"/>
        <v>25000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BELUM BAYAR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IF(1&lt;=$D$2,SUMIFS(PEMBAYARAN!$E$4:$E$500,PEMBAYARAN!$A$4:$A$500,$B10,PEMBAYARAN!$B$4:$B$500,"Maret",PEMBAYARAN!$C$4:$C$500,"Minggu 1"),"")</f>
        <v>0</v>
      </c>
      <c r="D10" s="23">
        <f>IF(2&lt;=$D$2,SUMIFS(PEMBAYARAN!$E$4:$E$500,PEMBAYARAN!$A$4:$A$500,$B10,PEMBAYARAN!$B$4:$B$500,"Maret",PEMBAYARAN!$C$4:$C$500,"Minggu 2"),"")</f>
        <v>0</v>
      </c>
      <c r="E10" s="23">
        <f>IF(3&lt;=$D$2,SUMIFS(PEMBAYARAN!$E$4:$E$500,PEMBAYARAN!$A$4:$A$500,$B10,PEMBAYARAN!$B$4:$B$500,"Maret",PEMBAYARAN!$C$4:$C$500,"Minggu 3"),"")</f>
        <v>0</v>
      </c>
      <c r="F10" s="23">
        <f>IF(4&lt;=$D$2,SUMIFS(PEMBAYARAN!$E$4:$E$500,PEMBAYARAN!$A$4:$A$500,$B10,PEMBAYARAN!$B$4:$B$500,"Maret",PEMBAYARAN!$C$4:$C$500,"Minggu 4"),"")</f>
        <v>0</v>
      </c>
      <c r="G10" s="23">
        <f>IF(5&lt;=$D$2,SUMIFS(PEMBAYARAN!$E$4:$E$500,PEMBAYARAN!$A$4:$A$500,$B10,PEMBAYARAN!$B$4:$B$500,"Maret",PEMBAYARAN!$C$4:$C$500,"Minggu 5"),"")</f>
        <v>0</v>
      </c>
      <c r="H10" s="23">
        <f t="shared" si="0"/>
        <v>25000</v>
      </c>
      <c r="I10" s="23">
        <f t="shared" si="1"/>
        <v>0</v>
      </c>
      <c r="J10" s="23">
        <f t="shared" si="2"/>
        <v>25000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BELUM BAYAR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IF(1&lt;=$D$2,SUMIFS(PEMBAYARAN!$E$4:$E$500,PEMBAYARAN!$A$4:$A$500,$B11,PEMBAYARAN!$B$4:$B$500,"Maret",PEMBAYARAN!$C$4:$C$500,"Minggu 1"),"")</f>
        <v>0</v>
      </c>
      <c r="D11" s="23">
        <f>IF(2&lt;=$D$2,SUMIFS(PEMBAYARAN!$E$4:$E$500,PEMBAYARAN!$A$4:$A$500,$B11,PEMBAYARAN!$B$4:$B$500,"Maret",PEMBAYARAN!$C$4:$C$500,"Minggu 2"),"")</f>
        <v>0</v>
      </c>
      <c r="E11" s="23">
        <f>IF(3&lt;=$D$2,SUMIFS(PEMBAYARAN!$E$4:$E$500,PEMBAYARAN!$A$4:$A$500,$B11,PEMBAYARAN!$B$4:$B$500,"Maret",PEMBAYARAN!$C$4:$C$500,"Minggu 3"),"")</f>
        <v>0</v>
      </c>
      <c r="F11" s="23">
        <f>IF(4&lt;=$D$2,SUMIFS(PEMBAYARAN!$E$4:$E$500,PEMBAYARAN!$A$4:$A$500,$B11,PEMBAYARAN!$B$4:$B$500,"Maret",PEMBAYARAN!$C$4:$C$500,"Minggu 4"),"")</f>
        <v>0</v>
      </c>
      <c r="G11" s="23">
        <f>IF(5&lt;=$D$2,SUMIFS(PEMBAYARAN!$E$4:$E$500,PEMBAYARAN!$A$4:$A$500,$B11,PEMBAYARAN!$B$4:$B$500,"Maret",PEMBAYARAN!$C$4:$C$500,"Minggu 5"),"")</f>
        <v>0</v>
      </c>
      <c r="H11" s="23">
        <f t="shared" si="0"/>
        <v>25000</v>
      </c>
      <c r="I11" s="23">
        <f t="shared" si="1"/>
        <v>0</v>
      </c>
      <c r="J11" s="23">
        <f t="shared" si="2"/>
        <v>25000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BELUM BAYAR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IF(1&lt;=$D$2,SUMIFS(PEMBAYARAN!$E$4:$E$500,PEMBAYARAN!$A$4:$A$500,$B12,PEMBAYARAN!$B$4:$B$500,"Maret",PEMBAYARAN!$C$4:$C$500,"Minggu 1"),"")</f>
        <v>0</v>
      </c>
      <c r="D12" s="23">
        <f>IF(2&lt;=$D$2,SUMIFS(PEMBAYARAN!$E$4:$E$500,PEMBAYARAN!$A$4:$A$500,$B12,PEMBAYARAN!$B$4:$B$500,"Maret",PEMBAYARAN!$C$4:$C$500,"Minggu 2"),"")</f>
        <v>0</v>
      </c>
      <c r="E12" s="23">
        <f>IF(3&lt;=$D$2,SUMIFS(PEMBAYARAN!$E$4:$E$500,PEMBAYARAN!$A$4:$A$500,$B12,PEMBAYARAN!$B$4:$B$500,"Maret",PEMBAYARAN!$C$4:$C$500,"Minggu 3"),"")</f>
        <v>0</v>
      </c>
      <c r="F12" s="23">
        <f>IF(4&lt;=$D$2,SUMIFS(PEMBAYARAN!$E$4:$E$500,PEMBAYARAN!$A$4:$A$500,$B12,PEMBAYARAN!$B$4:$B$500,"Maret",PEMBAYARAN!$C$4:$C$500,"Minggu 4"),"")</f>
        <v>0</v>
      </c>
      <c r="G12" s="23">
        <f>IF(5&lt;=$D$2,SUMIFS(PEMBAYARAN!$E$4:$E$500,PEMBAYARAN!$A$4:$A$500,$B12,PEMBAYARAN!$B$4:$B$500,"Maret",PEMBAYARAN!$C$4:$C$500,"Minggu 5"),"")</f>
        <v>0</v>
      </c>
      <c r="H12" s="23">
        <f t="shared" si="0"/>
        <v>25000</v>
      </c>
      <c r="I12" s="23">
        <f t="shared" si="1"/>
        <v>0</v>
      </c>
      <c r="J12" s="23">
        <f t="shared" si="2"/>
        <v>25000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BELUM BAYAR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IF(1&lt;=$D$2,SUMIFS(PEMBAYARAN!$E$4:$E$500,PEMBAYARAN!$A$4:$A$500,$B13,PEMBAYARAN!$B$4:$B$500,"Maret",PEMBAYARAN!$C$4:$C$500,"Minggu 1"),"")</f>
        <v>0</v>
      </c>
      <c r="D13" s="23">
        <f>IF(2&lt;=$D$2,SUMIFS(PEMBAYARAN!$E$4:$E$500,PEMBAYARAN!$A$4:$A$500,$B13,PEMBAYARAN!$B$4:$B$500,"Maret",PEMBAYARAN!$C$4:$C$500,"Minggu 2"),"")</f>
        <v>0</v>
      </c>
      <c r="E13" s="23">
        <f>IF(3&lt;=$D$2,SUMIFS(PEMBAYARAN!$E$4:$E$500,PEMBAYARAN!$A$4:$A$500,$B13,PEMBAYARAN!$B$4:$B$500,"Maret",PEMBAYARAN!$C$4:$C$500,"Minggu 3"),"")</f>
        <v>0</v>
      </c>
      <c r="F13" s="23">
        <f>IF(4&lt;=$D$2,SUMIFS(PEMBAYARAN!$E$4:$E$500,PEMBAYARAN!$A$4:$A$500,$B13,PEMBAYARAN!$B$4:$B$500,"Maret",PEMBAYARAN!$C$4:$C$500,"Minggu 4"),"")</f>
        <v>0</v>
      </c>
      <c r="G13" s="23">
        <f>IF(5&lt;=$D$2,SUMIFS(PEMBAYARAN!$E$4:$E$500,PEMBAYARAN!$A$4:$A$500,$B13,PEMBAYARAN!$B$4:$B$500,"Maret",PEMBAYARAN!$C$4:$C$500,"Minggu 5"),"")</f>
        <v>0</v>
      </c>
      <c r="H13" s="23">
        <f t="shared" si="0"/>
        <v>25000</v>
      </c>
      <c r="I13" s="23">
        <f t="shared" si="1"/>
        <v>0</v>
      </c>
      <c r="J13" s="23">
        <f t="shared" si="2"/>
        <v>25000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BELUM BAYAR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IF(1&lt;=$D$2,SUMIFS(PEMBAYARAN!$E$4:$E$500,PEMBAYARAN!$A$4:$A$500,$B14,PEMBAYARAN!$B$4:$B$500,"Maret",PEMBAYARAN!$C$4:$C$500,"Minggu 1"),"")</f>
        <v>0</v>
      </c>
      <c r="D14" s="23">
        <f>IF(2&lt;=$D$2,SUMIFS(PEMBAYARAN!$E$4:$E$500,PEMBAYARAN!$A$4:$A$500,$B14,PEMBAYARAN!$B$4:$B$500,"Maret",PEMBAYARAN!$C$4:$C$500,"Minggu 2"),"")</f>
        <v>0</v>
      </c>
      <c r="E14" s="23">
        <f>IF(3&lt;=$D$2,SUMIFS(PEMBAYARAN!$E$4:$E$500,PEMBAYARAN!$A$4:$A$500,$B14,PEMBAYARAN!$B$4:$B$500,"Maret",PEMBAYARAN!$C$4:$C$500,"Minggu 3"),"")</f>
        <v>0</v>
      </c>
      <c r="F14" s="23">
        <f>IF(4&lt;=$D$2,SUMIFS(PEMBAYARAN!$E$4:$E$500,PEMBAYARAN!$A$4:$A$500,$B14,PEMBAYARAN!$B$4:$B$500,"Maret",PEMBAYARAN!$C$4:$C$500,"Minggu 4"),"")</f>
        <v>0</v>
      </c>
      <c r="G14" s="23">
        <f>IF(5&lt;=$D$2,SUMIFS(PEMBAYARAN!$E$4:$E$500,PEMBAYARAN!$A$4:$A$500,$B14,PEMBAYARAN!$B$4:$B$500,"Maret",PEMBAYARAN!$C$4:$C$500,"Minggu 5"),"")</f>
        <v>0</v>
      </c>
      <c r="H14" s="23">
        <f t="shared" si="0"/>
        <v>25000</v>
      </c>
      <c r="I14" s="23">
        <f t="shared" si="1"/>
        <v>0</v>
      </c>
      <c r="J14" s="23">
        <f t="shared" si="2"/>
        <v>25000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BELUM BAYAR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IF(1&lt;=$D$2,SUMIFS(PEMBAYARAN!$E$4:$E$500,PEMBAYARAN!$A$4:$A$500,$B15,PEMBAYARAN!$B$4:$B$500,"Maret",PEMBAYARAN!$C$4:$C$500,"Minggu 1"),"")</f>
        <v>0</v>
      </c>
      <c r="D15" s="23">
        <f>IF(2&lt;=$D$2,SUMIFS(PEMBAYARAN!$E$4:$E$500,PEMBAYARAN!$A$4:$A$500,$B15,PEMBAYARAN!$B$4:$B$500,"Maret",PEMBAYARAN!$C$4:$C$500,"Minggu 2"),"")</f>
        <v>0</v>
      </c>
      <c r="E15" s="23">
        <f>IF(3&lt;=$D$2,SUMIFS(PEMBAYARAN!$E$4:$E$500,PEMBAYARAN!$A$4:$A$500,$B15,PEMBAYARAN!$B$4:$B$500,"Maret",PEMBAYARAN!$C$4:$C$500,"Minggu 3"),"")</f>
        <v>0</v>
      </c>
      <c r="F15" s="23">
        <f>IF(4&lt;=$D$2,SUMIFS(PEMBAYARAN!$E$4:$E$500,PEMBAYARAN!$A$4:$A$500,$B15,PEMBAYARAN!$B$4:$B$500,"Maret",PEMBAYARAN!$C$4:$C$500,"Minggu 4"),"")</f>
        <v>0</v>
      </c>
      <c r="G15" s="23">
        <f>IF(5&lt;=$D$2,SUMIFS(PEMBAYARAN!$E$4:$E$500,PEMBAYARAN!$A$4:$A$500,$B15,PEMBAYARAN!$B$4:$B$500,"Maret",PEMBAYARAN!$C$4:$C$500,"Minggu 5"),"")</f>
        <v>0</v>
      </c>
      <c r="H15" s="23">
        <f t="shared" si="0"/>
        <v>25000</v>
      </c>
      <c r="I15" s="23">
        <f t="shared" si="1"/>
        <v>0</v>
      </c>
      <c r="J15" s="23">
        <f t="shared" si="2"/>
        <v>25000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BELUM BAYAR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IF(1&lt;=$D$2,SUMIFS(PEMBAYARAN!$E$4:$E$500,PEMBAYARAN!$A$4:$A$500,$B16,PEMBAYARAN!$B$4:$B$500,"Maret",PEMBAYARAN!$C$4:$C$500,"Minggu 1"),"")</f>
        <v>0</v>
      </c>
      <c r="D16" s="23">
        <f>IF(2&lt;=$D$2,SUMIFS(PEMBAYARAN!$E$4:$E$500,PEMBAYARAN!$A$4:$A$500,$B16,PEMBAYARAN!$B$4:$B$500,"Maret",PEMBAYARAN!$C$4:$C$500,"Minggu 2"),"")</f>
        <v>0</v>
      </c>
      <c r="E16" s="23">
        <f>IF(3&lt;=$D$2,SUMIFS(PEMBAYARAN!$E$4:$E$500,PEMBAYARAN!$A$4:$A$500,$B16,PEMBAYARAN!$B$4:$B$500,"Maret",PEMBAYARAN!$C$4:$C$500,"Minggu 3"),"")</f>
        <v>0</v>
      </c>
      <c r="F16" s="23">
        <f>IF(4&lt;=$D$2,SUMIFS(PEMBAYARAN!$E$4:$E$500,PEMBAYARAN!$A$4:$A$500,$B16,PEMBAYARAN!$B$4:$B$500,"Maret",PEMBAYARAN!$C$4:$C$500,"Minggu 4"),"")</f>
        <v>0</v>
      </c>
      <c r="G16" s="23">
        <f>IF(5&lt;=$D$2,SUMIFS(PEMBAYARAN!$E$4:$E$500,PEMBAYARAN!$A$4:$A$500,$B16,PEMBAYARAN!$B$4:$B$500,"Maret",PEMBAYARAN!$C$4:$C$500,"Minggu 5"),"")</f>
        <v>0</v>
      </c>
      <c r="H16" s="23">
        <f t="shared" si="0"/>
        <v>25000</v>
      </c>
      <c r="I16" s="23">
        <f t="shared" si="1"/>
        <v>0</v>
      </c>
      <c r="J16" s="23">
        <f t="shared" si="2"/>
        <v>25000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BELUM BAYAR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IF(1&lt;=$D$2,SUMIFS(PEMBAYARAN!$E$4:$E$500,PEMBAYARAN!$A$4:$A$500,$B17,PEMBAYARAN!$B$4:$B$500,"Maret",PEMBAYARAN!$C$4:$C$500,"Minggu 1"),"")</f>
        <v>0</v>
      </c>
      <c r="D17" s="23">
        <f>IF(2&lt;=$D$2,SUMIFS(PEMBAYARAN!$E$4:$E$500,PEMBAYARAN!$A$4:$A$500,$B17,PEMBAYARAN!$B$4:$B$500,"Maret",PEMBAYARAN!$C$4:$C$500,"Minggu 2"),"")</f>
        <v>0</v>
      </c>
      <c r="E17" s="23">
        <f>IF(3&lt;=$D$2,SUMIFS(PEMBAYARAN!$E$4:$E$500,PEMBAYARAN!$A$4:$A$500,$B17,PEMBAYARAN!$B$4:$B$500,"Maret",PEMBAYARAN!$C$4:$C$500,"Minggu 3"),"")</f>
        <v>0</v>
      </c>
      <c r="F17" s="23">
        <f>IF(4&lt;=$D$2,SUMIFS(PEMBAYARAN!$E$4:$E$500,PEMBAYARAN!$A$4:$A$500,$B17,PEMBAYARAN!$B$4:$B$500,"Maret",PEMBAYARAN!$C$4:$C$500,"Minggu 4"),"")</f>
        <v>0</v>
      </c>
      <c r="G17" s="23">
        <f>IF(5&lt;=$D$2,SUMIFS(PEMBAYARAN!$E$4:$E$500,PEMBAYARAN!$A$4:$A$500,$B17,PEMBAYARAN!$B$4:$B$500,"Maret",PEMBAYARAN!$C$4:$C$500,"Minggu 5"),"")</f>
        <v>0</v>
      </c>
      <c r="H17" s="23">
        <f t="shared" si="0"/>
        <v>25000</v>
      </c>
      <c r="I17" s="23">
        <f t="shared" si="1"/>
        <v>0</v>
      </c>
      <c r="J17" s="23">
        <f t="shared" si="2"/>
        <v>25000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BELUM BAYAR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IF(1&lt;=$D$2,SUMIFS(PEMBAYARAN!$E$4:$E$500,PEMBAYARAN!$A$4:$A$500,$B18,PEMBAYARAN!$B$4:$B$500,"Maret",PEMBAYARAN!$C$4:$C$500,"Minggu 1"),"")</f>
        <v>0</v>
      </c>
      <c r="D18" s="23">
        <f>IF(2&lt;=$D$2,SUMIFS(PEMBAYARAN!$E$4:$E$500,PEMBAYARAN!$A$4:$A$500,$B18,PEMBAYARAN!$B$4:$B$500,"Maret",PEMBAYARAN!$C$4:$C$500,"Minggu 2"),"")</f>
        <v>0</v>
      </c>
      <c r="E18" s="23">
        <f>IF(3&lt;=$D$2,SUMIFS(PEMBAYARAN!$E$4:$E$500,PEMBAYARAN!$A$4:$A$500,$B18,PEMBAYARAN!$B$4:$B$500,"Maret",PEMBAYARAN!$C$4:$C$500,"Minggu 3"),"")</f>
        <v>0</v>
      </c>
      <c r="F18" s="23">
        <f>IF(4&lt;=$D$2,SUMIFS(PEMBAYARAN!$E$4:$E$500,PEMBAYARAN!$A$4:$A$500,$B18,PEMBAYARAN!$B$4:$B$500,"Maret",PEMBAYARAN!$C$4:$C$500,"Minggu 4"),"")</f>
        <v>0</v>
      </c>
      <c r="G18" s="23">
        <f>IF(5&lt;=$D$2,SUMIFS(PEMBAYARAN!$E$4:$E$500,PEMBAYARAN!$A$4:$A$500,$B18,PEMBAYARAN!$B$4:$B$500,"Maret",PEMBAYARAN!$C$4:$C$500,"Minggu 5"),"")</f>
        <v>0</v>
      </c>
      <c r="H18" s="23">
        <f t="shared" si="0"/>
        <v>25000</v>
      </c>
      <c r="I18" s="23">
        <f t="shared" si="1"/>
        <v>0</v>
      </c>
      <c r="J18" s="23">
        <f t="shared" si="2"/>
        <v>25000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BELUM BAYAR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IF(1&lt;=$D$2,SUMIFS(PEMBAYARAN!$E$4:$E$500,PEMBAYARAN!$A$4:$A$500,$B19,PEMBAYARAN!$B$4:$B$500,"Maret",PEMBAYARAN!$C$4:$C$500,"Minggu 1"),"")</f>
        <v>0</v>
      </c>
      <c r="D19" s="23">
        <f>IF(2&lt;=$D$2,SUMIFS(PEMBAYARAN!$E$4:$E$500,PEMBAYARAN!$A$4:$A$500,$B19,PEMBAYARAN!$B$4:$B$500,"Maret",PEMBAYARAN!$C$4:$C$500,"Minggu 2"),"")</f>
        <v>0</v>
      </c>
      <c r="E19" s="23">
        <f>IF(3&lt;=$D$2,SUMIFS(PEMBAYARAN!$E$4:$E$500,PEMBAYARAN!$A$4:$A$500,$B19,PEMBAYARAN!$B$4:$B$500,"Maret",PEMBAYARAN!$C$4:$C$500,"Minggu 3"),"")</f>
        <v>0</v>
      </c>
      <c r="F19" s="23">
        <f>IF(4&lt;=$D$2,SUMIFS(PEMBAYARAN!$E$4:$E$500,PEMBAYARAN!$A$4:$A$500,$B19,PEMBAYARAN!$B$4:$B$500,"Maret",PEMBAYARAN!$C$4:$C$500,"Minggu 4"),"")</f>
        <v>0</v>
      </c>
      <c r="G19" s="23">
        <f>IF(5&lt;=$D$2,SUMIFS(PEMBAYARAN!$E$4:$E$500,PEMBAYARAN!$A$4:$A$500,$B19,PEMBAYARAN!$B$4:$B$500,"Maret",PEMBAYARAN!$C$4:$C$500,"Minggu 5"),"")</f>
        <v>0</v>
      </c>
      <c r="H19" s="23">
        <f t="shared" si="0"/>
        <v>25000</v>
      </c>
      <c r="I19" s="23">
        <f t="shared" si="1"/>
        <v>0</v>
      </c>
      <c r="J19" s="23">
        <f t="shared" si="2"/>
        <v>25000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BELUM BAYAR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IF(1&lt;=$D$2,SUMIFS(PEMBAYARAN!$E$4:$E$500,PEMBAYARAN!$A$4:$A$500,$B20,PEMBAYARAN!$B$4:$B$500,"Maret",PEMBAYARAN!$C$4:$C$500,"Minggu 1"),"")</f>
        <v>0</v>
      </c>
      <c r="D20" s="23">
        <f>IF(2&lt;=$D$2,SUMIFS(PEMBAYARAN!$E$4:$E$500,PEMBAYARAN!$A$4:$A$500,$B20,PEMBAYARAN!$B$4:$B$500,"Maret",PEMBAYARAN!$C$4:$C$500,"Minggu 2"),"")</f>
        <v>0</v>
      </c>
      <c r="E20" s="23">
        <f>IF(3&lt;=$D$2,SUMIFS(PEMBAYARAN!$E$4:$E$500,PEMBAYARAN!$A$4:$A$500,$B20,PEMBAYARAN!$B$4:$B$500,"Maret",PEMBAYARAN!$C$4:$C$500,"Minggu 3"),"")</f>
        <v>0</v>
      </c>
      <c r="F20" s="23">
        <f>IF(4&lt;=$D$2,SUMIFS(PEMBAYARAN!$E$4:$E$500,PEMBAYARAN!$A$4:$A$500,$B20,PEMBAYARAN!$B$4:$B$500,"Maret",PEMBAYARAN!$C$4:$C$500,"Minggu 4"),"")</f>
        <v>0</v>
      </c>
      <c r="G20" s="23">
        <f>IF(5&lt;=$D$2,SUMIFS(PEMBAYARAN!$E$4:$E$500,PEMBAYARAN!$A$4:$A$500,$B20,PEMBAYARAN!$B$4:$B$500,"Maret",PEMBAYARAN!$C$4:$C$500,"Minggu 5"),"")</f>
        <v>0</v>
      </c>
      <c r="H20" s="23">
        <f t="shared" si="0"/>
        <v>25000</v>
      </c>
      <c r="I20" s="23">
        <f t="shared" si="1"/>
        <v>0</v>
      </c>
      <c r="J20" s="23">
        <f t="shared" si="2"/>
        <v>25000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BELUM BAYAR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IF(1&lt;=$D$2,SUMIFS(PEMBAYARAN!$E$4:$E$500,PEMBAYARAN!$A$4:$A$500,$B21,PEMBAYARAN!$B$4:$B$500,"Maret",PEMBAYARAN!$C$4:$C$500,"Minggu 1"),"")</f>
        <v>0</v>
      </c>
      <c r="D21" s="23">
        <f>IF(2&lt;=$D$2,SUMIFS(PEMBAYARAN!$E$4:$E$500,PEMBAYARAN!$A$4:$A$500,$B21,PEMBAYARAN!$B$4:$B$500,"Maret",PEMBAYARAN!$C$4:$C$500,"Minggu 2"),"")</f>
        <v>0</v>
      </c>
      <c r="E21" s="23">
        <f>IF(3&lt;=$D$2,SUMIFS(PEMBAYARAN!$E$4:$E$500,PEMBAYARAN!$A$4:$A$500,$B21,PEMBAYARAN!$B$4:$B$500,"Maret",PEMBAYARAN!$C$4:$C$500,"Minggu 3"),"")</f>
        <v>0</v>
      </c>
      <c r="F21" s="23">
        <f>IF(4&lt;=$D$2,SUMIFS(PEMBAYARAN!$E$4:$E$500,PEMBAYARAN!$A$4:$A$500,$B21,PEMBAYARAN!$B$4:$B$500,"Maret",PEMBAYARAN!$C$4:$C$500,"Minggu 4"),"")</f>
        <v>0</v>
      </c>
      <c r="G21" s="23">
        <f>IF(5&lt;=$D$2,SUMIFS(PEMBAYARAN!$E$4:$E$500,PEMBAYARAN!$A$4:$A$500,$B21,PEMBAYARAN!$B$4:$B$500,"Maret",PEMBAYARAN!$C$4:$C$500,"Minggu 5"),"")</f>
        <v>0</v>
      </c>
      <c r="H21" s="23">
        <f t="shared" si="0"/>
        <v>25000</v>
      </c>
      <c r="I21" s="23">
        <f t="shared" si="1"/>
        <v>0</v>
      </c>
      <c r="J21" s="23">
        <f t="shared" si="2"/>
        <v>25000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BELUM BAYAR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IF(1&lt;=$D$2,SUMIFS(PEMBAYARAN!$E$4:$E$500,PEMBAYARAN!$A$4:$A$500,$B22,PEMBAYARAN!$B$4:$B$500,"Maret",PEMBAYARAN!$C$4:$C$500,"Minggu 1"),"")</f>
        <v>0</v>
      </c>
      <c r="D22" s="23">
        <f>IF(2&lt;=$D$2,SUMIFS(PEMBAYARAN!$E$4:$E$500,PEMBAYARAN!$A$4:$A$500,$B22,PEMBAYARAN!$B$4:$B$500,"Maret",PEMBAYARAN!$C$4:$C$500,"Minggu 2"),"")</f>
        <v>0</v>
      </c>
      <c r="E22" s="23">
        <f>IF(3&lt;=$D$2,SUMIFS(PEMBAYARAN!$E$4:$E$500,PEMBAYARAN!$A$4:$A$500,$B22,PEMBAYARAN!$B$4:$B$500,"Maret",PEMBAYARAN!$C$4:$C$500,"Minggu 3"),"")</f>
        <v>0</v>
      </c>
      <c r="F22" s="23">
        <f>IF(4&lt;=$D$2,SUMIFS(PEMBAYARAN!$E$4:$E$500,PEMBAYARAN!$A$4:$A$500,$B22,PEMBAYARAN!$B$4:$B$500,"Maret",PEMBAYARAN!$C$4:$C$500,"Minggu 4"),"")</f>
        <v>0</v>
      </c>
      <c r="G22" s="23">
        <f>IF(5&lt;=$D$2,SUMIFS(PEMBAYARAN!$E$4:$E$500,PEMBAYARAN!$A$4:$A$500,$B22,PEMBAYARAN!$B$4:$B$500,"Maret",PEMBAYARAN!$C$4:$C$500,"Minggu 5"),"")</f>
        <v>0</v>
      </c>
      <c r="H22" s="23">
        <f t="shared" si="0"/>
        <v>25000</v>
      </c>
      <c r="I22" s="23">
        <f t="shared" si="1"/>
        <v>0</v>
      </c>
      <c r="J22" s="23">
        <f t="shared" si="2"/>
        <v>25000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BELUM BAYAR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IF(1&lt;=$D$2,SUMIFS(PEMBAYARAN!$E$4:$E$500,PEMBAYARAN!$A$4:$A$500,$B23,PEMBAYARAN!$B$4:$B$500,"Maret",PEMBAYARAN!$C$4:$C$500,"Minggu 1"),"")</f>
        <v>0</v>
      </c>
      <c r="D23" s="23">
        <f>IF(2&lt;=$D$2,SUMIFS(PEMBAYARAN!$E$4:$E$500,PEMBAYARAN!$A$4:$A$500,$B23,PEMBAYARAN!$B$4:$B$500,"Maret",PEMBAYARAN!$C$4:$C$500,"Minggu 2"),"")</f>
        <v>0</v>
      </c>
      <c r="E23" s="23">
        <f>IF(3&lt;=$D$2,SUMIFS(PEMBAYARAN!$E$4:$E$500,PEMBAYARAN!$A$4:$A$500,$B23,PEMBAYARAN!$B$4:$B$500,"Maret",PEMBAYARAN!$C$4:$C$500,"Minggu 3"),"")</f>
        <v>0</v>
      </c>
      <c r="F23" s="23">
        <f>IF(4&lt;=$D$2,SUMIFS(PEMBAYARAN!$E$4:$E$500,PEMBAYARAN!$A$4:$A$500,$B23,PEMBAYARAN!$B$4:$B$500,"Maret",PEMBAYARAN!$C$4:$C$500,"Minggu 4"),"")</f>
        <v>0</v>
      </c>
      <c r="G23" s="23">
        <f>IF(5&lt;=$D$2,SUMIFS(PEMBAYARAN!$E$4:$E$500,PEMBAYARAN!$A$4:$A$500,$B23,PEMBAYARAN!$B$4:$B$500,"Maret",PEMBAYARAN!$C$4:$C$500,"Minggu 5"),"")</f>
        <v>0</v>
      </c>
      <c r="H23" s="23">
        <f t="shared" si="0"/>
        <v>25000</v>
      </c>
      <c r="I23" s="23">
        <f t="shared" si="1"/>
        <v>0</v>
      </c>
      <c r="J23" s="23">
        <f t="shared" si="2"/>
        <v>25000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BELUM BAYAR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IF(1&lt;=$D$2,SUMIFS(PEMBAYARAN!$E$4:$E$500,PEMBAYARAN!$A$4:$A$500,$B24,PEMBAYARAN!$B$4:$B$500,"Maret",PEMBAYARAN!$C$4:$C$500,"Minggu 1"),"")</f>
        <v>0</v>
      </c>
      <c r="D24" s="23">
        <f>IF(2&lt;=$D$2,SUMIFS(PEMBAYARAN!$E$4:$E$500,PEMBAYARAN!$A$4:$A$500,$B24,PEMBAYARAN!$B$4:$B$500,"Maret",PEMBAYARAN!$C$4:$C$500,"Minggu 2"),"")</f>
        <v>0</v>
      </c>
      <c r="E24" s="23">
        <f>IF(3&lt;=$D$2,SUMIFS(PEMBAYARAN!$E$4:$E$500,PEMBAYARAN!$A$4:$A$500,$B24,PEMBAYARAN!$B$4:$B$500,"Maret",PEMBAYARAN!$C$4:$C$500,"Minggu 3"),"")</f>
        <v>0</v>
      </c>
      <c r="F24" s="23">
        <f>IF(4&lt;=$D$2,SUMIFS(PEMBAYARAN!$E$4:$E$500,PEMBAYARAN!$A$4:$A$500,$B24,PEMBAYARAN!$B$4:$B$500,"Maret",PEMBAYARAN!$C$4:$C$500,"Minggu 4"),"")</f>
        <v>0</v>
      </c>
      <c r="G24" s="23">
        <f>IF(5&lt;=$D$2,SUMIFS(PEMBAYARAN!$E$4:$E$500,PEMBAYARAN!$A$4:$A$500,$B24,PEMBAYARAN!$B$4:$B$500,"Maret",PEMBAYARAN!$C$4:$C$500,"Minggu 5"),"")</f>
        <v>0</v>
      </c>
      <c r="H24" s="23">
        <f t="shared" si="0"/>
        <v>25000</v>
      </c>
      <c r="I24" s="23">
        <f t="shared" si="1"/>
        <v>0</v>
      </c>
      <c r="J24" s="23">
        <f t="shared" si="2"/>
        <v>25000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BELUM BAYAR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IF(1&lt;=$D$2,SUMIFS(PEMBAYARAN!$E$4:$E$500,PEMBAYARAN!$A$4:$A$500,$B25,PEMBAYARAN!$B$4:$B$500,"Maret",PEMBAYARAN!$C$4:$C$500,"Minggu 1"),"")</f>
        <v>0</v>
      </c>
      <c r="D25" s="23">
        <f>IF(2&lt;=$D$2,SUMIFS(PEMBAYARAN!$E$4:$E$500,PEMBAYARAN!$A$4:$A$500,$B25,PEMBAYARAN!$B$4:$B$500,"Maret",PEMBAYARAN!$C$4:$C$500,"Minggu 2"),"")</f>
        <v>0</v>
      </c>
      <c r="E25" s="23">
        <f>IF(3&lt;=$D$2,SUMIFS(PEMBAYARAN!$E$4:$E$500,PEMBAYARAN!$A$4:$A$500,$B25,PEMBAYARAN!$B$4:$B$500,"Maret",PEMBAYARAN!$C$4:$C$500,"Minggu 3"),"")</f>
        <v>0</v>
      </c>
      <c r="F25" s="23">
        <f>IF(4&lt;=$D$2,SUMIFS(PEMBAYARAN!$E$4:$E$500,PEMBAYARAN!$A$4:$A$500,$B25,PEMBAYARAN!$B$4:$B$500,"Maret",PEMBAYARAN!$C$4:$C$500,"Minggu 4"),"")</f>
        <v>0</v>
      </c>
      <c r="G25" s="23">
        <f>IF(5&lt;=$D$2,SUMIFS(PEMBAYARAN!$E$4:$E$500,PEMBAYARAN!$A$4:$A$500,$B25,PEMBAYARAN!$B$4:$B$500,"Maret",PEMBAYARAN!$C$4:$C$500,"Minggu 5"),"")</f>
        <v>0</v>
      </c>
      <c r="H25" s="23">
        <f t="shared" si="0"/>
        <v>25000</v>
      </c>
      <c r="I25" s="23">
        <f t="shared" si="1"/>
        <v>0</v>
      </c>
      <c r="J25" s="23">
        <f t="shared" si="2"/>
        <v>25000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BELUM BAYAR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IF(1&lt;=$D$2,SUMIFS(PEMBAYARAN!$E$4:$E$500,PEMBAYARAN!$A$4:$A$500,$B26,PEMBAYARAN!$B$4:$B$500,"Maret",PEMBAYARAN!$C$4:$C$500,"Minggu 1"),"")</f>
        <v>0</v>
      </c>
      <c r="D26" s="23">
        <f>IF(2&lt;=$D$2,SUMIFS(PEMBAYARAN!$E$4:$E$500,PEMBAYARAN!$A$4:$A$500,$B26,PEMBAYARAN!$B$4:$B$500,"Maret",PEMBAYARAN!$C$4:$C$500,"Minggu 2"),"")</f>
        <v>0</v>
      </c>
      <c r="E26" s="23">
        <f>IF(3&lt;=$D$2,SUMIFS(PEMBAYARAN!$E$4:$E$500,PEMBAYARAN!$A$4:$A$500,$B26,PEMBAYARAN!$B$4:$B$500,"Maret",PEMBAYARAN!$C$4:$C$500,"Minggu 3"),"")</f>
        <v>0</v>
      </c>
      <c r="F26" s="23">
        <f>IF(4&lt;=$D$2,SUMIFS(PEMBAYARAN!$E$4:$E$500,PEMBAYARAN!$A$4:$A$500,$B26,PEMBAYARAN!$B$4:$B$500,"Maret",PEMBAYARAN!$C$4:$C$500,"Minggu 4"),"")</f>
        <v>0</v>
      </c>
      <c r="G26" s="23">
        <f>IF(5&lt;=$D$2,SUMIFS(PEMBAYARAN!$E$4:$E$500,PEMBAYARAN!$A$4:$A$500,$B26,PEMBAYARAN!$B$4:$B$500,"Maret",PEMBAYARAN!$C$4:$C$500,"Minggu 5"),"")</f>
        <v>0</v>
      </c>
      <c r="H26" s="23">
        <f t="shared" si="0"/>
        <v>25000</v>
      </c>
      <c r="I26" s="23">
        <f t="shared" si="1"/>
        <v>0</v>
      </c>
      <c r="J26" s="23">
        <f t="shared" si="2"/>
        <v>25000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BELUM BAYAR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IF(1&lt;=$D$2,SUMIFS(PEMBAYARAN!$E$4:$E$500,PEMBAYARAN!$A$4:$A$500,$B27,PEMBAYARAN!$B$4:$B$500,"Maret",PEMBAYARAN!$C$4:$C$500,"Minggu 1"),"")</f>
        <v>0</v>
      </c>
      <c r="D27" s="23">
        <f>IF(2&lt;=$D$2,SUMIFS(PEMBAYARAN!$E$4:$E$500,PEMBAYARAN!$A$4:$A$500,$B27,PEMBAYARAN!$B$4:$B$500,"Maret",PEMBAYARAN!$C$4:$C$500,"Minggu 2"),"")</f>
        <v>0</v>
      </c>
      <c r="E27" s="23">
        <f>IF(3&lt;=$D$2,SUMIFS(PEMBAYARAN!$E$4:$E$500,PEMBAYARAN!$A$4:$A$500,$B27,PEMBAYARAN!$B$4:$B$500,"Maret",PEMBAYARAN!$C$4:$C$500,"Minggu 3"),"")</f>
        <v>0</v>
      </c>
      <c r="F27" s="23">
        <f>IF(4&lt;=$D$2,SUMIFS(PEMBAYARAN!$E$4:$E$500,PEMBAYARAN!$A$4:$A$500,$B27,PEMBAYARAN!$B$4:$B$500,"Maret",PEMBAYARAN!$C$4:$C$500,"Minggu 4"),"")</f>
        <v>0</v>
      </c>
      <c r="G27" s="23">
        <f>IF(5&lt;=$D$2,SUMIFS(PEMBAYARAN!$E$4:$E$500,PEMBAYARAN!$A$4:$A$500,$B27,PEMBAYARAN!$B$4:$B$500,"Maret",PEMBAYARAN!$C$4:$C$500,"Minggu 5"),"")</f>
        <v>0</v>
      </c>
      <c r="H27" s="23">
        <f t="shared" si="0"/>
        <v>25000</v>
      </c>
      <c r="I27" s="23">
        <f t="shared" si="1"/>
        <v>0</v>
      </c>
      <c r="J27" s="23">
        <f t="shared" si="2"/>
        <v>25000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BELUM BAYAR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IF(1&lt;=$D$2,SUMIFS(PEMBAYARAN!$E$4:$E$500,PEMBAYARAN!$A$4:$A$500,$B28,PEMBAYARAN!$B$4:$B$500,"Maret",PEMBAYARAN!$C$4:$C$500,"Minggu 1"),"")</f>
        <v>0</v>
      </c>
      <c r="D28" s="23">
        <f>IF(2&lt;=$D$2,SUMIFS(PEMBAYARAN!$E$4:$E$500,PEMBAYARAN!$A$4:$A$500,$B28,PEMBAYARAN!$B$4:$B$500,"Maret",PEMBAYARAN!$C$4:$C$500,"Minggu 2"),"")</f>
        <v>0</v>
      </c>
      <c r="E28" s="23">
        <f>IF(3&lt;=$D$2,SUMIFS(PEMBAYARAN!$E$4:$E$500,PEMBAYARAN!$A$4:$A$500,$B28,PEMBAYARAN!$B$4:$B$500,"Maret",PEMBAYARAN!$C$4:$C$500,"Minggu 3"),"")</f>
        <v>0</v>
      </c>
      <c r="F28" s="23">
        <f>IF(4&lt;=$D$2,SUMIFS(PEMBAYARAN!$E$4:$E$500,PEMBAYARAN!$A$4:$A$500,$B28,PEMBAYARAN!$B$4:$B$500,"Maret",PEMBAYARAN!$C$4:$C$500,"Minggu 4"),"")</f>
        <v>0</v>
      </c>
      <c r="G28" s="23">
        <f>IF(5&lt;=$D$2,SUMIFS(PEMBAYARAN!$E$4:$E$500,PEMBAYARAN!$A$4:$A$500,$B28,PEMBAYARAN!$B$4:$B$500,"Maret",PEMBAYARAN!$C$4:$C$500,"Minggu 5"),"")</f>
        <v>0</v>
      </c>
      <c r="H28" s="23">
        <f t="shared" si="0"/>
        <v>25000</v>
      </c>
      <c r="I28" s="23">
        <f t="shared" si="1"/>
        <v>0</v>
      </c>
      <c r="J28" s="23">
        <f t="shared" si="2"/>
        <v>25000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BELUM BAYAR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IF(1&lt;=$D$2,SUMIFS(PEMBAYARAN!$E$4:$E$500,PEMBAYARAN!$A$4:$A$500,$B29,PEMBAYARAN!$B$4:$B$500,"Maret",PEMBAYARAN!$C$4:$C$500,"Minggu 1"),"")</f>
        <v>0</v>
      </c>
      <c r="D29" s="23">
        <f>IF(2&lt;=$D$2,SUMIFS(PEMBAYARAN!$E$4:$E$500,PEMBAYARAN!$A$4:$A$500,$B29,PEMBAYARAN!$B$4:$B$500,"Maret",PEMBAYARAN!$C$4:$C$500,"Minggu 2"),"")</f>
        <v>0</v>
      </c>
      <c r="E29" s="23">
        <f>IF(3&lt;=$D$2,SUMIFS(PEMBAYARAN!$E$4:$E$500,PEMBAYARAN!$A$4:$A$500,$B29,PEMBAYARAN!$B$4:$B$500,"Maret",PEMBAYARAN!$C$4:$C$500,"Minggu 3"),"")</f>
        <v>0</v>
      </c>
      <c r="F29" s="23">
        <f>IF(4&lt;=$D$2,SUMIFS(PEMBAYARAN!$E$4:$E$500,PEMBAYARAN!$A$4:$A$500,$B29,PEMBAYARAN!$B$4:$B$500,"Maret",PEMBAYARAN!$C$4:$C$500,"Minggu 4"),"")</f>
        <v>0</v>
      </c>
      <c r="G29" s="23">
        <f>IF(5&lt;=$D$2,SUMIFS(PEMBAYARAN!$E$4:$E$500,PEMBAYARAN!$A$4:$A$500,$B29,PEMBAYARAN!$B$4:$B$500,"Maret",PEMBAYARAN!$C$4:$C$500,"Minggu 5"),"")</f>
        <v>0</v>
      </c>
      <c r="H29" s="23">
        <f t="shared" si="0"/>
        <v>25000</v>
      </c>
      <c r="I29" s="23">
        <f t="shared" si="1"/>
        <v>0</v>
      </c>
      <c r="J29" s="23">
        <f t="shared" si="2"/>
        <v>25000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BELUM BAYAR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IF(1&lt;=$D$2,SUMIFS(PEMBAYARAN!$E$4:$E$500,PEMBAYARAN!$A$4:$A$500,$B30,PEMBAYARAN!$B$4:$B$500,"Maret",PEMBAYARAN!$C$4:$C$500,"Minggu 1"),"")</f>
        <v>0</v>
      </c>
      <c r="D30" s="23">
        <f>IF(2&lt;=$D$2,SUMIFS(PEMBAYARAN!$E$4:$E$500,PEMBAYARAN!$A$4:$A$500,$B30,PEMBAYARAN!$B$4:$B$500,"Maret",PEMBAYARAN!$C$4:$C$500,"Minggu 2"),"")</f>
        <v>0</v>
      </c>
      <c r="E30" s="23">
        <f>IF(3&lt;=$D$2,SUMIFS(PEMBAYARAN!$E$4:$E$500,PEMBAYARAN!$A$4:$A$500,$B30,PEMBAYARAN!$B$4:$B$500,"Maret",PEMBAYARAN!$C$4:$C$500,"Minggu 3"),"")</f>
        <v>0</v>
      </c>
      <c r="F30" s="23">
        <f>IF(4&lt;=$D$2,SUMIFS(PEMBAYARAN!$E$4:$E$500,PEMBAYARAN!$A$4:$A$500,$B30,PEMBAYARAN!$B$4:$B$500,"Maret",PEMBAYARAN!$C$4:$C$500,"Minggu 4"),"")</f>
        <v>0</v>
      </c>
      <c r="G30" s="23">
        <f>IF(5&lt;=$D$2,SUMIFS(PEMBAYARAN!$E$4:$E$500,PEMBAYARAN!$A$4:$A$500,$B30,PEMBAYARAN!$B$4:$B$500,"Maret",PEMBAYARAN!$C$4:$C$500,"Minggu 5"),"")</f>
        <v>0</v>
      </c>
      <c r="H30" s="23">
        <f t="shared" si="0"/>
        <v>25000</v>
      </c>
      <c r="I30" s="23">
        <f t="shared" si="1"/>
        <v>0</v>
      </c>
      <c r="J30" s="23">
        <f t="shared" si="2"/>
        <v>25000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BELUM BAYAR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IF(1&lt;=$D$2,SUMIFS(PEMBAYARAN!$E$4:$E$500,PEMBAYARAN!$A$4:$A$500,$B31,PEMBAYARAN!$B$4:$B$500,"Maret",PEMBAYARAN!$C$4:$C$500,"Minggu 1"),"")</f>
        <v>0</v>
      </c>
      <c r="D31" s="23">
        <f>IF(2&lt;=$D$2,SUMIFS(PEMBAYARAN!$E$4:$E$500,PEMBAYARAN!$A$4:$A$500,$B31,PEMBAYARAN!$B$4:$B$500,"Maret",PEMBAYARAN!$C$4:$C$500,"Minggu 2"),"")</f>
        <v>0</v>
      </c>
      <c r="E31" s="23">
        <f>IF(3&lt;=$D$2,SUMIFS(PEMBAYARAN!$E$4:$E$500,PEMBAYARAN!$A$4:$A$500,$B31,PEMBAYARAN!$B$4:$B$500,"Maret",PEMBAYARAN!$C$4:$C$500,"Minggu 3"),"")</f>
        <v>0</v>
      </c>
      <c r="F31" s="23">
        <f>IF(4&lt;=$D$2,SUMIFS(PEMBAYARAN!$E$4:$E$500,PEMBAYARAN!$A$4:$A$500,$B31,PEMBAYARAN!$B$4:$B$500,"Maret",PEMBAYARAN!$C$4:$C$500,"Minggu 4"),"")</f>
        <v>0</v>
      </c>
      <c r="G31" s="23">
        <f>IF(5&lt;=$D$2,SUMIFS(PEMBAYARAN!$E$4:$E$500,PEMBAYARAN!$A$4:$A$500,$B31,PEMBAYARAN!$B$4:$B$500,"Maret",PEMBAYARAN!$C$4:$C$500,"Minggu 5"),"")</f>
        <v>0</v>
      </c>
      <c r="H31" s="23">
        <f t="shared" si="0"/>
        <v>25000</v>
      </c>
      <c r="I31" s="23">
        <f t="shared" si="1"/>
        <v>0</v>
      </c>
      <c r="J31" s="23">
        <f t="shared" si="2"/>
        <v>25000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BELUM BAYAR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IF(1&lt;=$D$2,SUMIFS(PEMBAYARAN!$E$4:$E$500,PEMBAYARAN!$A$4:$A$500,$B32,PEMBAYARAN!$B$4:$B$500,"Maret",PEMBAYARAN!$C$4:$C$500,"Minggu 1"),"")</f>
        <v>0</v>
      </c>
      <c r="D32" s="23">
        <f>IF(2&lt;=$D$2,SUMIFS(PEMBAYARAN!$E$4:$E$500,PEMBAYARAN!$A$4:$A$500,$B32,PEMBAYARAN!$B$4:$B$500,"Maret",PEMBAYARAN!$C$4:$C$500,"Minggu 2"),"")</f>
        <v>0</v>
      </c>
      <c r="E32" s="23">
        <f>IF(3&lt;=$D$2,SUMIFS(PEMBAYARAN!$E$4:$E$500,PEMBAYARAN!$A$4:$A$500,$B32,PEMBAYARAN!$B$4:$B$500,"Maret",PEMBAYARAN!$C$4:$C$500,"Minggu 3"),"")</f>
        <v>0</v>
      </c>
      <c r="F32" s="23">
        <f>IF(4&lt;=$D$2,SUMIFS(PEMBAYARAN!$E$4:$E$500,PEMBAYARAN!$A$4:$A$500,$B32,PEMBAYARAN!$B$4:$B$500,"Maret",PEMBAYARAN!$C$4:$C$500,"Minggu 4"),"")</f>
        <v>0</v>
      </c>
      <c r="G32" s="23">
        <f>IF(5&lt;=$D$2,SUMIFS(PEMBAYARAN!$E$4:$E$500,PEMBAYARAN!$A$4:$A$500,$B32,PEMBAYARAN!$B$4:$B$500,"Maret",PEMBAYARAN!$C$4:$C$500,"Minggu 5"),"")</f>
        <v>0</v>
      </c>
      <c r="H32" s="23">
        <f t="shared" si="0"/>
        <v>25000</v>
      </c>
      <c r="I32" s="23">
        <f t="shared" si="1"/>
        <v>0</v>
      </c>
      <c r="J32" s="23">
        <f t="shared" si="2"/>
        <v>25000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BELUM BAYAR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IF(1&lt;=$D$2,SUMIFS(PEMBAYARAN!$E$4:$E$500,PEMBAYARAN!$A$4:$A$500,$B33,PEMBAYARAN!$B$4:$B$500,"Maret",PEMBAYARAN!$C$4:$C$500,"Minggu 1"),"")</f>
        <v>0</v>
      </c>
      <c r="D33" s="23">
        <f>IF(2&lt;=$D$2,SUMIFS(PEMBAYARAN!$E$4:$E$500,PEMBAYARAN!$A$4:$A$500,$B33,PEMBAYARAN!$B$4:$B$500,"Maret",PEMBAYARAN!$C$4:$C$500,"Minggu 2"),"")</f>
        <v>0</v>
      </c>
      <c r="E33" s="23">
        <f>IF(3&lt;=$D$2,SUMIFS(PEMBAYARAN!$E$4:$E$500,PEMBAYARAN!$A$4:$A$500,$B33,PEMBAYARAN!$B$4:$B$500,"Maret",PEMBAYARAN!$C$4:$C$500,"Minggu 3"),"")</f>
        <v>0</v>
      </c>
      <c r="F33" s="23">
        <f>IF(4&lt;=$D$2,SUMIFS(PEMBAYARAN!$E$4:$E$500,PEMBAYARAN!$A$4:$A$500,$B33,PEMBAYARAN!$B$4:$B$500,"Maret",PEMBAYARAN!$C$4:$C$500,"Minggu 4"),"")</f>
        <v>0</v>
      </c>
      <c r="G33" s="23">
        <f>IF(5&lt;=$D$2,SUMIFS(PEMBAYARAN!$E$4:$E$500,PEMBAYARAN!$A$4:$A$500,$B33,PEMBAYARAN!$B$4:$B$500,"Maret",PEMBAYARAN!$C$4:$C$500,"Minggu 5"),"")</f>
        <v>0</v>
      </c>
      <c r="H33" s="23">
        <f t="shared" si="0"/>
        <v>25000</v>
      </c>
      <c r="I33" s="23">
        <f t="shared" si="1"/>
        <v>0</v>
      </c>
      <c r="J33" s="23">
        <f t="shared" si="2"/>
        <v>25000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BELUM BAYAR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IF(1&lt;=$D$2,SUMIFS(PEMBAYARAN!$E$4:$E$500,PEMBAYARAN!$A$4:$A$500,$B34,PEMBAYARAN!$B$4:$B$500,"Maret",PEMBAYARAN!$C$4:$C$500,"Minggu 1"),"")</f>
        <v>0</v>
      </c>
      <c r="D34" s="23">
        <f>IF(2&lt;=$D$2,SUMIFS(PEMBAYARAN!$E$4:$E$500,PEMBAYARAN!$A$4:$A$500,$B34,PEMBAYARAN!$B$4:$B$500,"Maret",PEMBAYARAN!$C$4:$C$500,"Minggu 2"),"")</f>
        <v>0</v>
      </c>
      <c r="E34" s="23">
        <f>IF(3&lt;=$D$2,SUMIFS(PEMBAYARAN!$E$4:$E$500,PEMBAYARAN!$A$4:$A$500,$B34,PEMBAYARAN!$B$4:$B$500,"Maret",PEMBAYARAN!$C$4:$C$500,"Minggu 3"),"")</f>
        <v>0</v>
      </c>
      <c r="F34" s="23">
        <f>IF(4&lt;=$D$2,SUMIFS(PEMBAYARAN!$E$4:$E$500,PEMBAYARAN!$A$4:$A$500,$B34,PEMBAYARAN!$B$4:$B$500,"Maret",PEMBAYARAN!$C$4:$C$500,"Minggu 4"),"")</f>
        <v>0</v>
      </c>
      <c r="G34" s="23">
        <f>IF(5&lt;=$D$2,SUMIFS(PEMBAYARAN!$E$4:$E$500,PEMBAYARAN!$A$4:$A$500,$B34,PEMBAYARAN!$B$4:$B$500,"Maret",PEMBAYARAN!$C$4:$C$500,"Minggu 5"),"")</f>
        <v>0</v>
      </c>
      <c r="H34" s="23">
        <f t="shared" si="0"/>
        <v>25000</v>
      </c>
      <c r="I34" s="23">
        <f t="shared" si="1"/>
        <v>0</v>
      </c>
      <c r="J34" s="23">
        <f t="shared" si="2"/>
        <v>25000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BELUM BAYAR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IF(1&lt;=$D$2,SUMIFS(PEMBAYARAN!$E$4:$E$500,PEMBAYARAN!$A$4:$A$500,$B35,PEMBAYARAN!$B$4:$B$500,"Maret",PEMBAYARAN!$C$4:$C$500,"Minggu 1"),"")</f>
        <v>0</v>
      </c>
      <c r="D35" s="23">
        <f>IF(2&lt;=$D$2,SUMIFS(PEMBAYARAN!$E$4:$E$500,PEMBAYARAN!$A$4:$A$500,$B35,PEMBAYARAN!$B$4:$B$500,"Maret",PEMBAYARAN!$C$4:$C$500,"Minggu 2"),"")</f>
        <v>0</v>
      </c>
      <c r="E35" s="23">
        <f>IF(3&lt;=$D$2,SUMIFS(PEMBAYARAN!$E$4:$E$500,PEMBAYARAN!$A$4:$A$500,$B35,PEMBAYARAN!$B$4:$B$500,"Maret",PEMBAYARAN!$C$4:$C$500,"Minggu 3"),"")</f>
        <v>0</v>
      </c>
      <c r="F35" s="23">
        <f>IF(4&lt;=$D$2,SUMIFS(PEMBAYARAN!$E$4:$E$500,PEMBAYARAN!$A$4:$A$500,$B35,PEMBAYARAN!$B$4:$B$500,"Maret",PEMBAYARAN!$C$4:$C$500,"Minggu 4"),"")</f>
        <v>0</v>
      </c>
      <c r="G35" s="23">
        <f>IF(5&lt;=$D$2,SUMIFS(PEMBAYARAN!$E$4:$E$500,PEMBAYARAN!$A$4:$A$500,$B35,PEMBAYARAN!$B$4:$B$500,"Maret",PEMBAYARAN!$C$4:$C$500,"Minggu 5"),"")</f>
        <v>0</v>
      </c>
      <c r="H35" s="23">
        <f t="shared" si="0"/>
        <v>25000</v>
      </c>
      <c r="I35" s="23">
        <f t="shared" si="1"/>
        <v>0</v>
      </c>
      <c r="J35" s="23">
        <f t="shared" si="2"/>
        <v>25000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BELUM BAYAR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IF(1&lt;=$D$2,SUMIFS(PEMBAYARAN!$E$4:$E$500,PEMBAYARAN!$A$4:$A$500,$B36,PEMBAYARAN!$B$4:$B$500,"Maret",PEMBAYARAN!$C$4:$C$500,"Minggu 1"),"")</f>
        <v>0</v>
      </c>
      <c r="D36" s="23">
        <f>IF(2&lt;=$D$2,SUMIFS(PEMBAYARAN!$E$4:$E$500,PEMBAYARAN!$A$4:$A$500,$B36,PEMBAYARAN!$B$4:$B$500,"Maret",PEMBAYARAN!$C$4:$C$500,"Minggu 2"),"")</f>
        <v>0</v>
      </c>
      <c r="E36" s="23">
        <f>IF(3&lt;=$D$2,SUMIFS(PEMBAYARAN!$E$4:$E$500,PEMBAYARAN!$A$4:$A$500,$B36,PEMBAYARAN!$B$4:$B$500,"Maret",PEMBAYARAN!$C$4:$C$500,"Minggu 3"),"")</f>
        <v>0</v>
      </c>
      <c r="F36" s="23">
        <f>IF(4&lt;=$D$2,SUMIFS(PEMBAYARAN!$E$4:$E$500,PEMBAYARAN!$A$4:$A$500,$B36,PEMBAYARAN!$B$4:$B$500,"Maret",PEMBAYARAN!$C$4:$C$500,"Minggu 4"),"")</f>
        <v>0</v>
      </c>
      <c r="G36" s="23">
        <f>IF(5&lt;=$D$2,SUMIFS(PEMBAYARAN!$E$4:$E$500,PEMBAYARAN!$A$4:$A$500,$B36,PEMBAYARAN!$B$4:$B$500,"Maret",PEMBAYARAN!$C$4:$C$500,"Minggu 5"),"")</f>
        <v>0</v>
      </c>
      <c r="H36" s="23">
        <f t="shared" si="0"/>
        <v>25000</v>
      </c>
      <c r="I36" s="23">
        <f t="shared" si="1"/>
        <v>0</v>
      </c>
      <c r="J36" s="23">
        <f t="shared" si="2"/>
        <v>25000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BELUM BAYAR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IF(1&lt;=$D$2,SUMIFS(PEMBAYARAN!$E$4:$E$500,PEMBAYARAN!$A$4:$A$500,$B37,PEMBAYARAN!$B$4:$B$500,"Maret",PEMBAYARAN!$C$4:$C$500,"Minggu 1"),"")</f>
        <v>0</v>
      </c>
      <c r="D37" s="23">
        <f>IF(2&lt;=$D$2,SUMIFS(PEMBAYARAN!$E$4:$E$500,PEMBAYARAN!$A$4:$A$500,$B37,PEMBAYARAN!$B$4:$B$500,"Maret",PEMBAYARAN!$C$4:$C$500,"Minggu 2"),"")</f>
        <v>0</v>
      </c>
      <c r="E37" s="23">
        <f>IF(3&lt;=$D$2,SUMIFS(PEMBAYARAN!$E$4:$E$500,PEMBAYARAN!$A$4:$A$500,$B37,PEMBAYARAN!$B$4:$B$500,"Maret",PEMBAYARAN!$C$4:$C$500,"Minggu 3"),"")</f>
        <v>0</v>
      </c>
      <c r="F37" s="23">
        <f>IF(4&lt;=$D$2,SUMIFS(PEMBAYARAN!$E$4:$E$500,PEMBAYARAN!$A$4:$A$500,$B37,PEMBAYARAN!$B$4:$B$500,"Maret",PEMBAYARAN!$C$4:$C$500,"Minggu 4"),"")</f>
        <v>0</v>
      </c>
      <c r="G37" s="23">
        <f>IF(5&lt;=$D$2,SUMIFS(PEMBAYARAN!$E$4:$E$500,PEMBAYARAN!$A$4:$A$500,$B37,PEMBAYARAN!$B$4:$B$500,"Maret",PEMBAYARAN!$C$4:$C$500,"Minggu 5"),"")</f>
        <v>0</v>
      </c>
      <c r="H37" s="23">
        <f t="shared" si="0"/>
        <v>25000</v>
      </c>
      <c r="I37" s="23">
        <f t="shared" si="1"/>
        <v>0</v>
      </c>
      <c r="J37" s="23">
        <f t="shared" si="2"/>
        <v>25000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BELUM BAYAR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IF(1&lt;=$D$2,SUMIFS(PEMBAYARAN!$E$4:$E$500,PEMBAYARAN!$A$4:$A$500,$B38,PEMBAYARAN!$B$4:$B$500,"Maret",PEMBAYARAN!$C$4:$C$500,"Minggu 1"),"")</f>
        <v>0</v>
      </c>
      <c r="D38" s="23">
        <f>IF(2&lt;=$D$2,SUMIFS(PEMBAYARAN!$E$4:$E$500,PEMBAYARAN!$A$4:$A$500,$B38,PEMBAYARAN!$B$4:$B$500,"Maret",PEMBAYARAN!$C$4:$C$500,"Minggu 2"),"")</f>
        <v>0</v>
      </c>
      <c r="E38" s="23">
        <f>IF(3&lt;=$D$2,SUMIFS(PEMBAYARAN!$E$4:$E$500,PEMBAYARAN!$A$4:$A$500,$B38,PEMBAYARAN!$B$4:$B$500,"Maret",PEMBAYARAN!$C$4:$C$500,"Minggu 3"),"")</f>
        <v>0</v>
      </c>
      <c r="F38" s="23">
        <f>IF(4&lt;=$D$2,SUMIFS(PEMBAYARAN!$E$4:$E$500,PEMBAYARAN!$A$4:$A$500,$B38,PEMBAYARAN!$B$4:$B$500,"Maret",PEMBAYARAN!$C$4:$C$500,"Minggu 4"),"")</f>
        <v>0</v>
      </c>
      <c r="G38" s="23">
        <f>IF(5&lt;=$D$2,SUMIFS(PEMBAYARAN!$E$4:$E$500,PEMBAYARAN!$A$4:$A$500,$B38,PEMBAYARAN!$B$4:$B$500,"Maret",PEMBAYARAN!$C$4:$C$500,"Minggu 5"),"")</f>
        <v>0</v>
      </c>
      <c r="H38" s="23">
        <f t="shared" si="0"/>
        <v>25000</v>
      </c>
      <c r="I38" s="23">
        <f t="shared" si="1"/>
        <v>0</v>
      </c>
      <c r="J38" s="23">
        <f t="shared" si="2"/>
        <v>25000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BELUM BAYAR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IF(1&lt;=$D$2,SUMIFS(PEMBAYARAN!$E$4:$E$500,PEMBAYARAN!$A$4:$A$500,$B39,PEMBAYARAN!$B$4:$B$500,"Maret",PEMBAYARAN!$C$4:$C$500,"Minggu 1"),"")</f>
        <v>0</v>
      </c>
      <c r="D39" s="23">
        <f>IF(2&lt;=$D$2,SUMIFS(PEMBAYARAN!$E$4:$E$500,PEMBAYARAN!$A$4:$A$500,$B39,PEMBAYARAN!$B$4:$B$500,"Maret",PEMBAYARAN!$C$4:$C$500,"Minggu 2"),"")</f>
        <v>0</v>
      </c>
      <c r="E39" s="23">
        <f>IF(3&lt;=$D$2,SUMIFS(PEMBAYARAN!$E$4:$E$500,PEMBAYARAN!$A$4:$A$500,$B39,PEMBAYARAN!$B$4:$B$500,"Maret",PEMBAYARAN!$C$4:$C$500,"Minggu 3"),"")</f>
        <v>0</v>
      </c>
      <c r="F39" s="23">
        <f>IF(4&lt;=$D$2,SUMIFS(PEMBAYARAN!$E$4:$E$500,PEMBAYARAN!$A$4:$A$500,$B39,PEMBAYARAN!$B$4:$B$500,"Maret",PEMBAYARAN!$C$4:$C$500,"Minggu 4"),"")</f>
        <v>0</v>
      </c>
      <c r="G39" s="23">
        <f>IF(5&lt;=$D$2,SUMIFS(PEMBAYARAN!$E$4:$E$500,PEMBAYARAN!$A$4:$A$500,$B39,PEMBAYARAN!$B$4:$B$500,"Maret",PEMBAYARAN!$C$4:$C$500,"Minggu 5"),"")</f>
        <v>0</v>
      </c>
      <c r="H39" s="23">
        <f t="shared" si="0"/>
        <v>25000</v>
      </c>
      <c r="I39" s="23">
        <f t="shared" si="1"/>
        <v>0</v>
      </c>
      <c r="J39" s="23">
        <f t="shared" si="2"/>
        <v>25000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BELUM BAYAR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IF(1&lt;=$D$2,SUMIFS(PEMBAYARAN!$E$4:$E$500,PEMBAYARAN!$A$4:$A$500,$B40,PEMBAYARAN!$B$4:$B$500,"Maret",PEMBAYARAN!$C$4:$C$500,"Minggu 1"),"")</f>
        <v>0</v>
      </c>
      <c r="D40" s="23">
        <f>IF(2&lt;=$D$2,SUMIFS(PEMBAYARAN!$E$4:$E$500,PEMBAYARAN!$A$4:$A$500,$B40,PEMBAYARAN!$B$4:$B$500,"Maret",PEMBAYARAN!$C$4:$C$500,"Minggu 2"),"")</f>
        <v>0</v>
      </c>
      <c r="E40" s="23">
        <f>IF(3&lt;=$D$2,SUMIFS(PEMBAYARAN!$E$4:$E$500,PEMBAYARAN!$A$4:$A$500,$B40,PEMBAYARAN!$B$4:$B$500,"Maret",PEMBAYARAN!$C$4:$C$500,"Minggu 3"),"")</f>
        <v>0</v>
      </c>
      <c r="F40" s="23">
        <f>IF(4&lt;=$D$2,SUMIFS(PEMBAYARAN!$E$4:$E$500,PEMBAYARAN!$A$4:$A$500,$B40,PEMBAYARAN!$B$4:$B$500,"Maret",PEMBAYARAN!$C$4:$C$500,"Minggu 4"),"")</f>
        <v>0</v>
      </c>
      <c r="G40" s="23">
        <f>IF(5&lt;=$D$2,SUMIFS(PEMBAYARAN!$E$4:$E$500,PEMBAYARAN!$A$4:$A$500,$B40,PEMBAYARAN!$B$4:$B$500,"Maret",PEMBAYARAN!$C$4:$C$500,"Minggu 5"),"")</f>
        <v>0</v>
      </c>
      <c r="H40" s="23">
        <f t="shared" si="0"/>
        <v>25000</v>
      </c>
      <c r="I40" s="23">
        <f t="shared" si="1"/>
        <v>0</v>
      </c>
      <c r="J40" s="23">
        <f t="shared" si="2"/>
        <v>25000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BELUM BAYAR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IF(1&lt;=$D$2,SUMIFS(PEMBAYARAN!$E$4:$E$500,PEMBAYARAN!$A$4:$A$500,$B41,PEMBAYARAN!$B$4:$B$500,"Maret",PEMBAYARAN!$C$4:$C$500,"Minggu 1"),"")</f>
        <v>0</v>
      </c>
      <c r="D41" s="23">
        <f>IF(2&lt;=$D$2,SUMIFS(PEMBAYARAN!$E$4:$E$500,PEMBAYARAN!$A$4:$A$500,$B41,PEMBAYARAN!$B$4:$B$500,"Maret",PEMBAYARAN!$C$4:$C$500,"Minggu 2"),"")</f>
        <v>0</v>
      </c>
      <c r="E41" s="23">
        <f>IF(3&lt;=$D$2,SUMIFS(PEMBAYARAN!$E$4:$E$500,PEMBAYARAN!$A$4:$A$500,$B41,PEMBAYARAN!$B$4:$B$500,"Maret",PEMBAYARAN!$C$4:$C$500,"Minggu 3"),"")</f>
        <v>0</v>
      </c>
      <c r="F41" s="23">
        <f>IF(4&lt;=$D$2,SUMIFS(PEMBAYARAN!$E$4:$E$500,PEMBAYARAN!$A$4:$A$500,$B41,PEMBAYARAN!$B$4:$B$500,"Maret",PEMBAYARAN!$C$4:$C$500,"Minggu 4"),"")</f>
        <v>0</v>
      </c>
      <c r="G41" s="23">
        <f>IF(5&lt;=$D$2,SUMIFS(PEMBAYARAN!$E$4:$E$500,PEMBAYARAN!$A$4:$A$500,$B41,PEMBAYARAN!$B$4:$B$500,"Maret",PEMBAYARAN!$C$4:$C$500,"Minggu 5"),"")</f>
        <v>0</v>
      </c>
      <c r="H41" s="23">
        <f t="shared" si="0"/>
        <v>25000</v>
      </c>
      <c r="I41" s="23">
        <f t="shared" si="1"/>
        <v>0</v>
      </c>
      <c r="J41" s="23">
        <f t="shared" si="2"/>
        <v>25000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BELUM BAYAR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IF(1&lt;=$D$2,SUMIFS(PEMBAYARAN!$E$4:$E$500,PEMBAYARAN!$A$4:$A$500,$B42,PEMBAYARAN!$B$4:$B$500,"Maret",PEMBAYARAN!$C$4:$C$500,"Minggu 1"),"")</f>
        <v>0</v>
      </c>
      <c r="D42" s="23">
        <f>IF(2&lt;=$D$2,SUMIFS(PEMBAYARAN!$E$4:$E$500,PEMBAYARAN!$A$4:$A$500,$B42,PEMBAYARAN!$B$4:$B$500,"Maret",PEMBAYARAN!$C$4:$C$500,"Minggu 2"),"")</f>
        <v>0</v>
      </c>
      <c r="E42" s="23">
        <f>IF(3&lt;=$D$2,SUMIFS(PEMBAYARAN!$E$4:$E$500,PEMBAYARAN!$A$4:$A$500,$B42,PEMBAYARAN!$B$4:$B$500,"Maret",PEMBAYARAN!$C$4:$C$500,"Minggu 3"),"")</f>
        <v>0</v>
      </c>
      <c r="F42" s="23">
        <f>IF(4&lt;=$D$2,SUMIFS(PEMBAYARAN!$E$4:$E$500,PEMBAYARAN!$A$4:$A$500,$B42,PEMBAYARAN!$B$4:$B$500,"Maret",PEMBAYARAN!$C$4:$C$500,"Minggu 4"),"")</f>
        <v>0</v>
      </c>
      <c r="G42" s="23">
        <f>IF(5&lt;=$D$2,SUMIFS(PEMBAYARAN!$E$4:$E$500,PEMBAYARAN!$A$4:$A$500,$B42,PEMBAYARAN!$B$4:$B$500,"Maret",PEMBAYARAN!$C$4:$C$500,"Minggu 5"),"")</f>
        <v>0</v>
      </c>
      <c r="H42" s="23">
        <f t="shared" si="0"/>
        <v>25000</v>
      </c>
      <c r="I42" s="23">
        <f t="shared" si="1"/>
        <v>0</v>
      </c>
      <c r="J42" s="23">
        <f t="shared" si="2"/>
        <v>25000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BELUM BAYAR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IF(1&lt;=$D$2,SUMIFS(PEMBAYARAN!$E$4:$E$500,PEMBAYARAN!$A$4:$A$500,$B43,PEMBAYARAN!$B$4:$B$500,"Maret",PEMBAYARAN!$C$4:$C$500,"Minggu 1"),"")</f>
        <v>0</v>
      </c>
      <c r="D43" s="23">
        <f>IF(2&lt;=$D$2,SUMIFS(PEMBAYARAN!$E$4:$E$500,PEMBAYARAN!$A$4:$A$500,$B43,PEMBAYARAN!$B$4:$B$500,"Maret",PEMBAYARAN!$C$4:$C$500,"Minggu 2"),"")</f>
        <v>0</v>
      </c>
      <c r="E43" s="23">
        <f>IF(3&lt;=$D$2,SUMIFS(PEMBAYARAN!$E$4:$E$500,PEMBAYARAN!$A$4:$A$500,$B43,PEMBAYARAN!$B$4:$B$500,"Maret",PEMBAYARAN!$C$4:$C$500,"Minggu 3"),"")</f>
        <v>0</v>
      </c>
      <c r="F43" s="23">
        <f>IF(4&lt;=$D$2,SUMIFS(PEMBAYARAN!$E$4:$E$500,PEMBAYARAN!$A$4:$A$500,$B43,PEMBAYARAN!$B$4:$B$500,"Maret",PEMBAYARAN!$C$4:$C$500,"Minggu 4"),"")</f>
        <v>0</v>
      </c>
      <c r="G43" s="23">
        <f>IF(5&lt;=$D$2,SUMIFS(PEMBAYARAN!$E$4:$E$500,PEMBAYARAN!$A$4:$A$500,$B43,PEMBAYARAN!$B$4:$B$500,"Maret",PEMBAYARAN!$C$4:$C$500,"Minggu 5"),"")</f>
        <v>0</v>
      </c>
      <c r="H43" s="23">
        <f t="shared" si="0"/>
        <v>25000</v>
      </c>
      <c r="I43" s="23">
        <f t="shared" si="1"/>
        <v>0</v>
      </c>
      <c r="J43" s="23">
        <f t="shared" si="2"/>
        <v>25000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BELUM BAYAR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IF(1&lt;=$D$2,SUMIFS(PEMBAYARAN!$E$4:$E$500,PEMBAYARAN!$A$4:$A$500,$B44,PEMBAYARAN!$B$4:$B$500,"Maret",PEMBAYARAN!$C$4:$C$500,"Minggu 1"),"")</f>
        <v>0</v>
      </c>
      <c r="D44" s="23">
        <f>IF(2&lt;=$D$2,SUMIFS(PEMBAYARAN!$E$4:$E$500,PEMBAYARAN!$A$4:$A$500,$B44,PEMBAYARAN!$B$4:$B$500,"Maret",PEMBAYARAN!$C$4:$C$500,"Minggu 2"),"")</f>
        <v>0</v>
      </c>
      <c r="E44" s="23">
        <f>IF(3&lt;=$D$2,SUMIFS(PEMBAYARAN!$E$4:$E$500,PEMBAYARAN!$A$4:$A$500,$B44,PEMBAYARAN!$B$4:$B$500,"Maret",PEMBAYARAN!$C$4:$C$500,"Minggu 3"),"")</f>
        <v>0</v>
      </c>
      <c r="F44" s="23">
        <f>IF(4&lt;=$D$2,SUMIFS(PEMBAYARAN!$E$4:$E$500,PEMBAYARAN!$A$4:$A$500,$B44,PEMBAYARAN!$B$4:$B$500,"Maret",PEMBAYARAN!$C$4:$C$500,"Minggu 4"),"")</f>
        <v>0</v>
      </c>
      <c r="G44" s="23">
        <f>IF(5&lt;=$D$2,SUMIFS(PEMBAYARAN!$E$4:$E$500,PEMBAYARAN!$A$4:$A$500,$B44,PEMBAYARAN!$B$4:$B$500,"Maret",PEMBAYARAN!$C$4:$C$500,"Minggu 5"),"")</f>
        <v>0</v>
      </c>
      <c r="H44" s="23">
        <f t="shared" si="0"/>
        <v>25000</v>
      </c>
      <c r="I44" s="23">
        <f t="shared" si="1"/>
        <v>0</v>
      </c>
      <c r="J44" s="23">
        <f t="shared" si="2"/>
        <v>25000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BELUM BAYAR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IF(1&lt;=$D$2,SUMIFS(PEMBAYARAN!$E$4:$E$500,PEMBAYARAN!$A$4:$A$500,$B45,PEMBAYARAN!$B$4:$B$500,"Maret",PEMBAYARAN!$C$4:$C$500,"Minggu 1"),"")</f>
        <v>0</v>
      </c>
      <c r="D45" s="23">
        <f>IF(2&lt;=$D$2,SUMIFS(PEMBAYARAN!$E$4:$E$500,PEMBAYARAN!$A$4:$A$500,$B45,PEMBAYARAN!$B$4:$B$500,"Maret",PEMBAYARAN!$C$4:$C$500,"Minggu 2"),"")</f>
        <v>0</v>
      </c>
      <c r="E45" s="23">
        <f>IF(3&lt;=$D$2,SUMIFS(PEMBAYARAN!$E$4:$E$500,PEMBAYARAN!$A$4:$A$500,$B45,PEMBAYARAN!$B$4:$B$500,"Maret",PEMBAYARAN!$C$4:$C$500,"Minggu 3"),"")</f>
        <v>0</v>
      </c>
      <c r="F45" s="23">
        <f>IF(4&lt;=$D$2,SUMIFS(PEMBAYARAN!$E$4:$E$500,PEMBAYARAN!$A$4:$A$500,$B45,PEMBAYARAN!$B$4:$B$500,"Maret",PEMBAYARAN!$C$4:$C$500,"Minggu 4"),"")</f>
        <v>0</v>
      </c>
      <c r="G45" s="23">
        <f>IF(5&lt;=$D$2,SUMIFS(PEMBAYARAN!$E$4:$E$500,PEMBAYARAN!$A$4:$A$500,$B45,PEMBAYARAN!$B$4:$B$500,"Maret",PEMBAYARAN!$C$4:$C$500,"Minggu 5"),"")</f>
        <v>0</v>
      </c>
      <c r="H45" s="23">
        <f t="shared" si="0"/>
        <v>25000</v>
      </c>
      <c r="I45" s="23">
        <f t="shared" si="1"/>
        <v>0</v>
      </c>
      <c r="J45" s="23">
        <f t="shared" si="2"/>
        <v>25000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BELUM BAYAR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1025000</v>
      </c>
      <c r="I47" s="31">
        <f>SUM(I5:I45)</f>
        <v>0</v>
      </c>
      <c r="J47" s="31">
        <f>SUM(J5:J45)</f>
        <v>1025000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B000000}"/>
  <mergeCells count="2">
    <mergeCell ref="A1:L1"/>
    <mergeCell ref="A2:C2"/>
  </mergeCells>
  <conditionalFormatting sqref="L5:L45">
    <cfRule type="expression" dxfId="14" priority="2">
      <formula>LEFT(L5,5)="LUNAS"</formula>
    </cfRule>
    <cfRule type="cellIs" dxfId="13" priority="3" operator="equal">
      <formula>"CICILAN"</formula>
    </cfRule>
    <cfRule type="cellIs" dxfId="12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4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IF(1&lt;=$D$2,SUMIFS(PEMBAYARAN!$E$4:$E$500,PEMBAYARAN!$A$4:$A$500,$B5,PEMBAYARAN!$B$4:$B$500,"April",PEMBAYARAN!$C$4:$C$500,"Minggu 1"),"")</f>
        <v>0</v>
      </c>
      <c r="D5" s="23">
        <f>IF(2&lt;=$D$2,SUMIFS(PEMBAYARAN!$E$4:$E$500,PEMBAYARAN!$A$4:$A$500,$B5,PEMBAYARAN!$B$4:$B$500,"April",PEMBAYARAN!$C$4:$C$500,"Minggu 2"),"")</f>
        <v>0</v>
      </c>
      <c r="E5" s="23">
        <f>IF(3&lt;=$D$2,SUMIFS(PEMBAYARAN!$E$4:$E$500,PEMBAYARAN!$A$4:$A$500,$B5,PEMBAYARAN!$B$4:$B$500,"April",PEMBAYARAN!$C$4:$C$500,"Minggu 3"),"")</f>
        <v>0</v>
      </c>
      <c r="F5" s="23">
        <f>IF(4&lt;=$D$2,SUMIFS(PEMBAYARAN!$E$4:$E$500,PEMBAYARAN!$A$4:$A$500,$B5,PEMBAYARAN!$B$4:$B$500,"April",PEMBAYARAN!$C$4:$C$500,"Minggu 4"),"")</f>
        <v>0</v>
      </c>
      <c r="G5" s="23" t="str">
        <f>IF(5&lt;=$D$2,SUMIFS(PEMBAYARAN!$E$4:$E$500,PEMBAYARAN!$A$4:$A$500,$B5,PEMBAYARAN!$B$4:$B$500,"April",PEMBAYARAN!$C$4:$C$500,"Minggu 5"),"")</f>
        <v/>
      </c>
      <c r="H5" s="23">
        <f t="shared" ref="H5:H45" si="0">MIN($D$2,5)*$F$2</f>
        <v>20000</v>
      </c>
      <c r="I5" s="23">
        <f t="shared" ref="I5:I45" si="1">SUM(C5:G5)</f>
        <v>0</v>
      </c>
      <c r="J5" s="23">
        <f t="shared" ref="J5:J45" si="2">MAX(H5-I5,0)</f>
        <v>20000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-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IF(1&lt;=$D$2,SUMIFS(PEMBAYARAN!$E$4:$E$500,PEMBAYARAN!$A$4:$A$500,$B6,PEMBAYARAN!$B$4:$B$500,"April",PEMBAYARAN!$C$4:$C$500,"Minggu 1"),"")</f>
        <v>0</v>
      </c>
      <c r="D6" s="23">
        <f>IF(2&lt;=$D$2,SUMIFS(PEMBAYARAN!$E$4:$E$500,PEMBAYARAN!$A$4:$A$500,$B6,PEMBAYARAN!$B$4:$B$500,"April",PEMBAYARAN!$C$4:$C$500,"Minggu 2"),"")</f>
        <v>0</v>
      </c>
      <c r="E6" s="23">
        <f>IF(3&lt;=$D$2,SUMIFS(PEMBAYARAN!$E$4:$E$500,PEMBAYARAN!$A$4:$A$500,$B6,PEMBAYARAN!$B$4:$B$500,"April",PEMBAYARAN!$C$4:$C$500,"Minggu 3"),"")</f>
        <v>0</v>
      </c>
      <c r="F6" s="23">
        <f>IF(4&lt;=$D$2,SUMIFS(PEMBAYARAN!$E$4:$E$500,PEMBAYARAN!$A$4:$A$500,$B6,PEMBAYARAN!$B$4:$B$500,"April",PEMBAYARAN!$C$4:$C$500,"Minggu 4"),"")</f>
        <v>0</v>
      </c>
      <c r="G6" s="23" t="str">
        <f>IF(5&lt;=$D$2,SUMIFS(PEMBAYARAN!$E$4:$E$500,PEMBAYARAN!$A$4:$A$500,$B6,PEMBAYARAN!$B$4:$B$500,"April",PEMBAYARAN!$C$4:$C$500,"Minggu 5"),"")</f>
        <v/>
      </c>
      <c r="H6" s="23">
        <f t="shared" si="0"/>
        <v>20000</v>
      </c>
      <c r="I6" s="23">
        <f t="shared" si="1"/>
        <v>0</v>
      </c>
      <c r="J6" s="23">
        <f t="shared" si="2"/>
        <v>20000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-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IF(1&lt;=$D$2,SUMIFS(PEMBAYARAN!$E$4:$E$500,PEMBAYARAN!$A$4:$A$500,$B7,PEMBAYARAN!$B$4:$B$500,"April",PEMBAYARAN!$C$4:$C$500,"Minggu 1"),"")</f>
        <v>0</v>
      </c>
      <c r="D7" s="23">
        <f>IF(2&lt;=$D$2,SUMIFS(PEMBAYARAN!$E$4:$E$500,PEMBAYARAN!$A$4:$A$500,$B7,PEMBAYARAN!$B$4:$B$500,"April",PEMBAYARAN!$C$4:$C$500,"Minggu 2"),"")</f>
        <v>0</v>
      </c>
      <c r="E7" s="23">
        <f>IF(3&lt;=$D$2,SUMIFS(PEMBAYARAN!$E$4:$E$500,PEMBAYARAN!$A$4:$A$500,$B7,PEMBAYARAN!$B$4:$B$500,"April",PEMBAYARAN!$C$4:$C$500,"Minggu 3"),"")</f>
        <v>0</v>
      </c>
      <c r="F7" s="23">
        <f>IF(4&lt;=$D$2,SUMIFS(PEMBAYARAN!$E$4:$E$500,PEMBAYARAN!$A$4:$A$500,$B7,PEMBAYARAN!$B$4:$B$500,"April",PEMBAYARAN!$C$4:$C$500,"Minggu 4"),"")</f>
        <v>0</v>
      </c>
      <c r="G7" s="23" t="str">
        <f>IF(5&lt;=$D$2,SUMIFS(PEMBAYARAN!$E$4:$E$500,PEMBAYARAN!$A$4:$A$500,$B7,PEMBAYARAN!$B$4:$B$500,"April",PEMBAYARAN!$C$4:$C$500,"Minggu 5"),"")</f>
        <v/>
      </c>
      <c r="H7" s="23">
        <f t="shared" si="0"/>
        <v>20000</v>
      </c>
      <c r="I7" s="23">
        <f t="shared" si="1"/>
        <v>0</v>
      </c>
      <c r="J7" s="23">
        <f t="shared" si="2"/>
        <v>20000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-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IF(1&lt;=$D$2,SUMIFS(PEMBAYARAN!$E$4:$E$500,PEMBAYARAN!$A$4:$A$500,$B8,PEMBAYARAN!$B$4:$B$500,"April",PEMBAYARAN!$C$4:$C$500,"Minggu 1"),"")</f>
        <v>0</v>
      </c>
      <c r="D8" s="23">
        <f>IF(2&lt;=$D$2,SUMIFS(PEMBAYARAN!$E$4:$E$500,PEMBAYARAN!$A$4:$A$500,$B8,PEMBAYARAN!$B$4:$B$500,"April",PEMBAYARAN!$C$4:$C$500,"Minggu 2"),"")</f>
        <v>0</v>
      </c>
      <c r="E8" s="23">
        <f>IF(3&lt;=$D$2,SUMIFS(PEMBAYARAN!$E$4:$E$500,PEMBAYARAN!$A$4:$A$500,$B8,PEMBAYARAN!$B$4:$B$500,"April",PEMBAYARAN!$C$4:$C$500,"Minggu 3"),"")</f>
        <v>0</v>
      </c>
      <c r="F8" s="23">
        <f>IF(4&lt;=$D$2,SUMIFS(PEMBAYARAN!$E$4:$E$500,PEMBAYARAN!$A$4:$A$500,$B8,PEMBAYARAN!$B$4:$B$500,"April",PEMBAYARAN!$C$4:$C$500,"Minggu 4"),"")</f>
        <v>0</v>
      </c>
      <c r="G8" s="23" t="str">
        <f>IF(5&lt;=$D$2,SUMIFS(PEMBAYARAN!$E$4:$E$500,PEMBAYARAN!$A$4:$A$500,$B8,PEMBAYARAN!$B$4:$B$500,"April",PEMBAYARAN!$C$4:$C$500,"Minggu 5"),"")</f>
        <v/>
      </c>
      <c r="H8" s="23">
        <f t="shared" si="0"/>
        <v>20000</v>
      </c>
      <c r="I8" s="23">
        <f t="shared" si="1"/>
        <v>0</v>
      </c>
      <c r="J8" s="23">
        <f t="shared" si="2"/>
        <v>20000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-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IF(1&lt;=$D$2,SUMIFS(PEMBAYARAN!$E$4:$E$500,PEMBAYARAN!$A$4:$A$500,$B9,PEMBAYARAN!$B$4:$B$500,"April",PEMBAYARAN!$C$4:$C$500,"Minggu 1"),"")</f>
        <v>0</v>
      </c>
      <c r="D9" s="23">
        <f>IF(2&lt;=$D$2,SUMIFS(PEMBAYARAN!$E$4:$E$500,PEMBAYARAN!$A$4:$A$500,$B9,PEMBAYARAN!$B$4:$B$500,"April",PEMBAYARAN!$C$4:$C$500,"Minggu 2"),"")</f>
        <v>0</v>
      </c>
      <c r="E9" s="23">
        <f>IF(3&lt;=$D$2,SUMIFS(PEMBAYARAN!$E$4:$E$500,PEMBAYARAN!$A$4:$A$500,$B9,PEMBAYARAN!$B$4:$B$500,"April",PEMBAYARAN!$C$4:$C$500,"Minggu 3"),"")</f>
        <v>0</v>
      </c>
      <c r="F9" s="23">
        <f>IF(4&lt;=$D$2,SUMIFS(PEMBAYARAN!$E$4:$E$500,PEMBAYARAN!$A$4:$A$500,$B9,PEMBAYARAN!$B$4:$B$500,"April",PEMBAYARAN!$C$4:$C$500,"Minggu 4"),"")</f>
        <v>0</v>
      </c>
      <c r="G9" s="23" t="str">
        <f>IF(5&lt;=$D$2,SUMIFS(PEMBAYARAN!$E$4:$E$500,PEMBAYARAN!$A$4:$A$500,$B9,PEMBAYARAN!$B$4:$B$500,"April",PEMBAYARAN!$C$4:$C$500,"Minggu 5"),"")</f>
        <v/>
      </c>
      <c r="H9" s="23">
        <f t="shared" si="0"/>
        <v>20000</v>
      </c>
      <c r="I9" s="23">
        <f t="shared" si="1"/>
        <v>0</v>
      </c>
      <c r="J9" s="23">
        <f t="shared" si="2"/>
        <v>20000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-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IF(1&lt;=$D$2,SUMIFS(PEMBAYARAN!$E$4:$E$500,PEMBAYARAN!$A$4:$A$500,$B10,PEMBAYARAN!$B$4:$B$500,"April",PEMBAYARAN!$C$4:$C$500,"Minggu 1"),"")</f>
        <v>0</v>
      </c>
      <c r="D10" s="23">
        <f>IF(2&lt;=$D$2,SUMIFS(PEMBAYARAN!$E$4:$E$500,PEMBAYARAN!$A$4:$A$500,$B10,PEMBAYARAN!$B$4:$B$500,"April",PEMBAYARAN!$C$4:$C$500,"Minggu 2"),"")</f>
        <v>0</v>
      </c>
      <c r="E10" s="23">
        <f>IF(3&lt;=$D$2,SUMIFS(PEMBAYARAN!$E$4:$E$500,PEMBAYARAN!$A$4:$A$500,$B10,PEMBAYARAN!$B$4:$B$500,"April",PEMBAYARAN!$C$4:$C$500,"Minggu 3"),"")</f>
        <v>0</v>
      </c>
      <c r="F10" s="23">
        <f>IF(4&lt;=$D$2,SUMIFS(PEMBAYARAN!$E$4:$E$500,PEMBAYARAN!$A$4:$A$500,$B10,PEMBAYARAN!$B$4:$B$500,"April",PEMBAYARAN!$C$4:$C$500,"Minggu 4"),"")</f>
        <v>0</v>
      </c>
      <c r="G10" s="23" t="str">
        <f>IF(5&lt;=$D$2,SUMIFS(PEMBAYARAN!$E$4:$E$500,PEMBAYARAN!$A$4:$A$500,$B10,PEMBAYARAN!$B$4:$B$500,"April",PEMBAYARAN!$C$4:$C$500,"Minggu 5"),"")</f>
        <v/>
      </c>
      <c r="H10" s="23">
        <f t="shared" si="0"/>
        <v>20000</v>
      </c>
      <c r="I10" s="23">
        <f t="shared" si="1"/>
        <v>0</v>
      </c>
      <c r="J10" s="23">
        <f t="shared" si="2"/>
        <v>20000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-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IF(1&lt;=$D$2,SUMIFS(PEMBAYARAN!$E$4:$E$500,PEMBAYARAN!$A$4:$A$500,$B11,PEMBAYARAN!$B$4:$B$500,"April",PEMBAYARAN!$C$4:$C$500,"Minggu 1"),"")</f>
        <v>0</v>
      </c>
      <c r="D11" s="23">
        <f>IF(2&lt;=$D$2,SUMIFS(PEMBAYARAN!$E$4:$E$500,PEMBAYARAN!$A$4:$A$500,$B11,PEMBAYARAN!$B$4:$B$500,"April",PEMBAYARAN!$C$4:$C$500,"Minggu 2"),"")</f>
        <v>0</v>
      </c>
      <c r="E11" s="23">
        <f>IF(3&lt;=$D$2,SUMIFS(PEMBAYARAN!$E$4:$E$500,PEMBAYARAN!$A$4:$A$500,$B11,PEMBAYARAN!$B$4:$B$500,"April",PEMBAYARAN!$C$4:$C$500,"Minggu 3"),"")</f>
        <v>0</v>
      </c>
      <c r="F11" s="23">
        <f>IF(4&lt;=$D$2,SUMIFS(PEMBAYARAN!$E$4:$E$500,PEMBAYARAN!$A$4:$A$500,$B11,PEMBAYARAN!$B$4:$B$500,"April",PEMBAYARAN!$C$4:$C$500,"Minggu 4"),"")</f>
        <v>0</v>
      </c>
      <c r="G11" s="23" t="str">
        <f>IF(5&lt;=$D$2,SUMIFS(PEMBAYARAN!$E$4:$E$500,PEMBAYARAN!$A$4:$A$500,$B11,PEMBAYARAN!$B$4:$B$500,"April",PEMBAYARAN!$C$4:$C$500,"Minggu 5"),"")</f>
        <v/>
      </c>
      <c r="H11" s="23">
        <f t="shared" si="0"/>
        <v>20000</v>
      </c>
      <c r="I11" s="23">
        <f t="shared" si="1"/>
        <v>0</v>
      </c>
      <c r="J11" s="23">
        <f t="shared" si="2"/>
        <v>20000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-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IF(1&lt;=$D$2,SUMIFS(PEMBAYARAN!$E$4:$E$500,PEMBAYARAN!$A$4:$A$500,$B12,PEMBAYARAN!$B$4:$B$500,"April",PEMBAYARAN!$C$4:$C$500,"Minggu 1"),"")</f>
        <v>0</v>
      </c>
      <c r="D12" s="23">
        <f>IF(2&lt;=$D$2,SUMIFS(PEMBAYARAN!$E$4:$E$500,PEMBAYARAN!$A$4:$A$500,$B12,PEMBAYARAN!$B$4:$B$500,"April",PEMBAYARAN!$C$4:$C$500,"Minggu 2"),"")</f>
        <v>0</v>
      </c>
      <c r="E12" s="23">
        <f>IF(3&lt;=$D$2,SUMIFS(PEMBAYARAN!$E$4:$E$500,PEMBAYARAN!$A$4:$A$500,$B12,PEMBAYARAN!$B$4:$B$500,"April",PEMBAYARAN!$C$4:$C$500,"Minggu 3"),"")</f>
        <v>0</v>
      </c>
      <c r="F12" s="23">
        <f>IF(4&lt;=$D$2,SUMIFS(PEMBAYARAN!$E$4:$E$500,PEMBAYARAN!$A$4:$A$500,$B12,PEMBAYARAN!$B$4:$B$500,"April",PEMBAYARAN!$C$4:$C$500,"Minggu 4"),"")</f>
        <v>0</v>
      </c>
      <c r="G12" s="23" t="str">
        <f>IF(5&lt;=$D$2,SUMIFS(PEMBAYARAN!$E$4:$E$500,PEMBAYARAN!$A$4:$A$500,$B12,PEMBAYARAN!$B$4:$B$500,"April",PEMBAYARAN!$C$4:$C$500,"Minggu 5"),"")</f>
        <v/>
      </c>
      <c r="H12" s="23">
        <f t="shared" si="0"/>
        <v>20000</v>
      </c>
      <c r="I12" s="23">
        <f t="shared" si="1"/>
        <v>0</v>
      </c>
      <c r="J12" s="23">
        <f t="shared" si="2"/>
        <v>20000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-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IF(1&lt;=$D$2,SUMIFS(PEMBAYARAN!$E$4:$E$500,PEMBAYARAN!$A$4:$A$500,$B13,PEMBAYARAN!$B$4:$B$500,"April",PEMBAYARAN!$C$4:$C$500,"Minggu 1"),"")</f>
        <v>0</v>
      </c>
      <c r="D13" s="23">
        <f>IF(2&lt;=$D$2,SUMIFS(PEMBAYARAN!$E$4:$E$500,PEMBAYARAN!$A$4:$A$500,$B13,PEMBAYARAN!$B$4:$B$500,"April",PEMBAYARAN!$C$4:$C$500,"Minggu 2"),"")</f>
        <v>0</v>
      </c>
      <c r="E13" s="23">
        <f>IF(3&lt;=$D$2,SUMIFS(PEMBAYARAN!$E$4:$E$500,PEMBAYARAN!$A$4:$A$500,$B13,PEMBAYARAN!$B$4:$B$500,"April",PEMBAYARAN!$C$4:$C$500,"Minggu 3"),"")</f>
        <v>0</v>
      </c>
      <c r="F13" s="23">
        <f>IF(4&lt;=$D$2,SUMIFS(PEMBAYARAN!$E$4:$E$500,PEMBAYARAN!$A$4:$A$500,$B13,PEMBAYARAN!$B$4:$B$500,"April",PEMBAYARAN!$C$4:$C$500,"Minggu 4"),"")</f>
        <v>0</v>
      </c>
      <c r="G13" s="23" t="str">
        <f>IF(5&lt;=$D$2,SUMIFS(PEMBAYARAN!$E$4:$E$500,PEMBAYARAN!$A$4:$A$500,$B13,PEMBAYARAN!$B$4:$B$500,"April",PEMBAYARAN!$C$4:$C$500,"Minggu 5"),"")</f>
        <v/>
      </c>
      <c r="H13" s="23">
        <f t="shared" si="0"/>
        <v>20000</v>
      </c>
      <c r="I13" s="23">
        <f t="shared" si="1"/>
        <v>0</v>
      </c>
      <c r="J13" s="23">
        <f t="shared" si="2"/>
        <v>20000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-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IF(1&lt;=$D$2,SUMIFS(PEMBAYARAN!$E$4:$E$500,PEMBAYARAN!$A$4:$A$500,$B14,PEMBAYARAN!$B$4:$B$500,"April",PEMBAYARAN!$C$4:$C$500,"Minggu 1"),"")</f>
        <v>0</v>
      </c>
      <c r="D14" s="23">
        <f>IF(2&lt;=$D$2,SUMIFS(PEMBAYARAN!$E$4:$E$500,PEMBAYARAN!$A$4:$A$500,$B14,PEMBAYARAN!$B$4:$B$500,"April",PEMBAYARAN!$C$4:$C$500,"Minggu 2"),"")</f>
        <v>0</v>
      </c>
      <c r="E14" s="23">
        <f>IF(3&lt;=$D$2,SUMIFS(PEMBAYARAN!$E$4:$E$500,PEMBAYARAN!$A$4:$A$500,$B14,PEMBAYARAN!$B$4:$B$500,"April",PEMBAYARAN!$C$4:$C$500,"Minggu 3"),"")</f>
        <v>0</v>
      </c>
      <c r="F14" s="23">
        <f>IF(4&lt;=$D$2,SUMIFS(PEMBAYARAN!$E$4:$E$500,PEMBAYARAN!$A$4:$A$500,$B14,PEMBAYARAN!$B$4:$B$500,"April",PEMBAYARAN!$C$4:$C$500,"Minggu 4"),"")</f>
        <v>0</v>
      </c>
      <c r="G14" s="23" t="str">
        <f>IF(5&lt;=$D$2,SUMIFS(PEMBAYARAN!$E$4:$E$500,PEMBAYARAN!$A$4:$A$500,$B14,PEMBAYARAN!$B$4:$B$500,"April",PEMBAYARAN!$C$4:$C$500,"Minggu 5"),"")</f>
        <v/>
      </c>
      <c r="H14" s="23">
        <f t="shared" si="0"/>
        <v>20000</v>
      </c>
      <c r="I14" s="23">
        <f t="shared" si="1"/>
        <v>0</v>
      </c>
      <c r="J14" s="23">
        <f t="shared" si="2"/>
        <v>20000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-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IF(1&lt;=$D$2,SUMIFS(PEMBAYARAN!$E$4:$E$500,PEMBAYARAN!$A$4:$A$500,$B15,PEMBAYARAN!$B$4:$B$500,"April",PEMBAYARAN!$C$4:$C$500,"Minggu 1"),"")</f>
        <v>0</v>
      </c>
      <c r="D15" s="23">
        <f>IF(2&lt;=$D$2,SUMIFS(PEMBAYARAN!$E$4:$E$500,PEMBAYARAN!$A$4:$A$500,$B15,PEMBAYARAN!$B$4:$B$500,"April",PEMBAYARAN!$C$4:$C$500,"Minggu 2"),"")</f>
        <v>0</v>
      </c>
      <c r="E15" s="23">
        <f>IF(3&lt;=$D$2,SUMIFS(PEMBAYARAN!$E$4:$E$500,PEMBAYARAN!$A$4:$A$500,$B15,PEMBAYARAN!$B$4:$B$500,"April",PEMBAYARAN!$C$4:$C$500,"Minggu 3"),"")</f>
        <v>0</v>
      </c>
      <c r="F15" s="23">
        <f>IF(4&lt;=$D$2,SUMIFS(PEMBAYARAN!$E$4:$E$500,PEMBAYARAN!$A$4:$A$500,$B15,PEMBAYARAN!$B$4:$B$500,"April",PEMBAYARAN!$C$4:$C$500,"Minggu 4"),"")</f>
        <v>0</v>
      </c>
      <c r="G15" s="23" t="str">
        <f>IF(5&lt;=$D$2,SUMIFS(PEMBAYARAN!$E$4:$E$500,PEMBAYARAN!$A$4:$A$500,$B15,PEMBAYARAN!$B$4:$B$500,"April",PEMBAYARAN!$C$4:$C$500,"Minggu 5"),"")</f>
        <v/>
      </c>
      <c r="H15" s="23">
        <f t="shared" si="0"/>
        <v>20000</v>
      </c>
      <c r="I15" s="23">
        <f t="shared" si="1"/>
        <v>0</v>
      </c>
      <c r="J15" s="23">
        <f t="shared" si="2"/>
        <v>20000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-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IF(1&lt;=$D$2,SUMIFS(PEMBAYARAN!$E$4:$E$500,PEMBAYARAN!$A$4:$A$500,$B16,PEMBAYARAN!$B$4:$B$500,"April",PEMBAYARAN!$C$4:$C$500,"Minggu 1"),"")</f>
        <v>0</v>
      </c>
      <c r="D16" s="23">
        <f>IF(2&lt;=$D$2,SUMIFS(PEMBAYARAN!$E$4:$E$500,PEMBAYARAN!$A$4:$A$500,$B16,PEMBAYARAN!$B$4:$B$500,"April",PEMBAYARAN!$C$4:$C$500,"Minggu 2"),"")</f>
        <v>0</v>
      </c>
      <c r="E16" s="23">
        <f>IF(3&lt;=$D$2,SUMIFS(PEMBAYARAN!$E$4:$E$500,PEMBAYARAN!$A$4:$A$500,$B16,PEMBAYARAN!$B$4:$B$500,"April",PEMBAYARAN!$C$4:$C$500,"Minggu 3"),"")</f>
        <v>0</v>
      </c>
      <c r="F16" s="23">
        <f>IF(4&lt;=$D$2,SUMIFS(PEMBAYARAN!$E$4:$E$500,PEMBAYARAN!$A$4:$A$500,$B16,PEMBAYARAN!$B$4:$B$500,"April",PEMBAYARAN!$C$4:$C$500,"Minggu 4"),"")</f>
        <v>0</v>
      </c>
      <c r="G16" s="23" t="str">
        <f>IF(5&lt;=$D$2,SUMIFS(PEMBAYARAN!$E$4:$E$500,PEMBAYARAN!$A$4:$A$500,$B16,PEMBAYARAN!$B$4:$B$500,"April",PEMBAYARAN!$C$4:$C$500,"Minggu 5"),"")</f>
        <v/>
      </c>
      <c r="H16" s="23">
        <f t="shared" si="0"/>
        <v>20000</v>
      </c>
      <c r="I16" s="23">
        <f t="shared" si="1"/>
        <v>0</v>
      </c>
      <c r="J16" s="23">
        <f t="shared" si="2"/>
        <v>20000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-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IF(1&lt;=$D$2,SUMIFS(PEMBAYARAN!$E$4:$E$500,PEMBAYARAN!$A$4:$A$500,$B17,PEMBAYARAN!$B$4:$B$500,"April",PEMBAYARAN!$C$4:$C$500,"Minggu 1"),"")</f>
        <v>0</v>
      </c>
      <c r="D17" s="23">
        <f>IF(2&lt;=$D$2,SUMIFS(PEMBAYARAN!$E$4:$E$500,PEMBAYARAN!$A$4:$A$500,$B17,PEMBAYARAN!$B$4:$B$500,"April",PEMBAYARAN!$C$4:$C$500,"Minggu 2"),"")</f>
        <v>0</v>
      </c>
      <c r="E17" s="23">
        <f>IF(3&lt;=$D$2,SUMIFS(PEMBAYARAN!$E$4:$E$500,PEMBAYARAN!$A$4:$A$500,$B17,PEMBAYARAN!$B$4:$B$500,"April",PEMBAYARAN!$C$4:$C$500,"Minggu 3"),"")</f>
        <v>0</v>
      </c>
      <c r="F17" s="23">
        <f>IF(4&lt;=$D$2,SUMIFS(PEMBAYARAN!$E$4:$E$500,PEMBAYARAN!$A$4:$A$500,$B17,PEMBAYARAN!$B$4:$B$500,"April",PEMBAYARAN!$C$4:$C$500,"Minggu 4"),"")</f>
        <v>0</v>
      </c>
      <c r="G17" s="23" t="str">
        <f>IF(5&lt;=$D$2,SUMIFS(PEMBAYARAN!$E$4:$E$500,PEMBAYARAN!$A$4:$A$500,$B17,PEMBAYARAN!$B$4:$B$500,"April",PEMBAYARAN!$C$4:$C$500,"Minggu 5"),"")</f>
        <v/>
      </c>
      <c r="H17" s="23">
        <f t="shared" si="0"/>
        <v>20000</v>
      </c>
      <c r="I17" s="23">
        <f t="shared" si="1"/>
        <v>0</v>
      </c>
      <c r="J17" s="23">
        <f t="shared" si="2"/>
        <v>20000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-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IF(1&lt;=$D$2,SUMIFS(PEMBAYARAN!$E$4:$E$500,PEMBAYARAN!$A$4:$A$500,$B18,PEMBAYARAN!$B$4:$B$500,"April",PEMBAYARAN!$C$4:$C$500,"Minggu 1"),"")</f>
        <v>0</v>
      </c>
      <c r="D18" s="23">
        <f>IF(2&lt;=$D$2,SUMIFS(PEMBAYARAN!$E$4:$E$500,PEMBAYARAN!$A$4:$A$500,$B18,PEMBAYARAN!$B$4:$B$500,"April",PEMBAYARAN!$C$4:$C$500,"Minggu 2"),"")</f>
        <v>0</v>
      </c>
      <c r="E18" s="23">
        <f>IF(3&lt;=$D$2,SUMIFS(PEMBAYARAN!$E$4:$E$500,PEMBAYARAN!$A$4:$A$500,$B18,PEMBAYARAN!$B$4:$B$500,"April",PEMBAYARAN!$C$4:$C$500,"Minggu 3"),"")</f>
        <v>0</v>
      </c>
      <c r="F18" s="23">
        <f>IF(4&lt;=$D$2,SUMIFS(PEMBAYARAN!$E$4:$E$500,PEMBAYARAN!$A$4:$A$500,$B18,PEMBAYARAN!$B$4:$B$500,"April",PEMBAYARAN!$C$4:$C$500,"Minggu 4"),"")</f>
        <v>0</v>
      </c>
      <c r="G18" s="23" t="str">
        <f>IF(5&lt;=$D$2,SUMIFS(PEMBAYARAN!$E$4:$E$500,PEMBAYARAN!$A$4:$A$500,$B18,PEMBAYARAN!$B$4:$B$500,"April",PEMBAYARAN!$C$4:$C$500,"Minggu 5"),"")</f>
        <v/>
      </c>
      <c r="H18" s="23">
        <f t="shared" si="0"/>
        <v>20000</v>
      </c>
      <c r="I18" s="23">
        <f t="shared" si="1"/>
        <v>0</v>
      </c>
      <c r="J18" s="23">
        <f t="shared" si="2"/>
        <v>20000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-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IF(1&lt;=$D$2,SUMIFS(PEMBAYARAN!$E$4:$E$500,PEMBAYARAN!$A$4:$A$500,$B19,PEMBAYARAN!$B$4:$B$500,"April",PEMBAYARAN!$C$4:$C$500,"Minggu 1"),"")</f>
        <v>0</v>
      </c>
      <c r="D19" s="23">
        <f>IF(2&lt;=$D$2,SUMIFS(PEMBAYARAN!$E$4:$E$500,PEMBAYARAN!$A$4:$A$500,$B19,PEMBAYARAN!$B$4:$B$500,"April",PEMBAYARAN!$C$4:$C$500,"Minggu 2"),"")</f>
        <v>0</v>
      </c>
      <c r="E19" s="23">
        <f>IF(3&lt;=$D$2,SUMIFS(PEMBAYARAN!$E$4:$E$500,PEMBAYARAN!$A$4:$A$500,$B19,PEMBAYARAN!$B$4:$B$500,"April",PEMBAYARAN!$C$4:$C$500,"Minggu 3"),"")</f>
        <v>0</v>
      </c>
      <c r="F19" s="23">
        <f>IF(4&lt;=$D$2,SUMIFS(PEMBAYARAN!$E$4:$E$500,PEMBAYARAN!$A$4:$A$500,$B19,PEMBAYARAN!$B$4:$B$500,"April",PEMBAYARAN!$C$4:$C$500,"Minggu 4"),"")</f>
        <v>0</v>
      </c>
      <c r="G19" s="23" t="str">
        <f>IF(5&lt;=$D$2,SUMIFS(PEMBAYARAN!$E$4:$E$500,PEMBAYARAN!$A$4:$A$500,$B19,PEMBAYARAN!$B$4:$B$500,"April",PEMBAYARAN!$C$4:$C$500,"Minggu 5"),"")</f>
        <v/>
      </c>
      <c r="H19" s="23">
        <f t="shared" si="0"/>
        <v>20000</v>
      </c>
      <c r="I19" s="23">
        <f t="shared" si="1"/>
        <v>0</v>
      </c>
      <c r="J19" s="23">
        <f t="shared" si="2"/>
        <v>20000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-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IF(1&lt;=$D$2,SUMIFS(PEMBAYARAN!$E$4:$E$500,PEMBAYARAN!$A$4:$A$500,$B20,PEMBAYARAN!$B$4:$B$500,"April",PEMBAYARAN!$C$4:$C$500,"Minggu 1"),"")</f>
        <v>0</v>
      </c>
      <c r="D20" s="23">
        <f>IF(2&lt;=$D$2,SUMIFS(PEMBAYARAN!$E$4:$E$500,PEMBAYARAN!$A$4:$A$500,$B20,PEMBAYARAN!$B$4:$B$500,"April",PEMBAYARAN!$C$4:$C$500,"Minggu 2"),"")</f>
        <v>0</v>
      </c>
      <c r="E20" s="23">
        <f>IF(3&lt;=$D$2,SUMIFS(PEMBAYARAN!$E$4:$E$500,PEMBAYARAN!$A$4:$A$500,$B20,PEMBAYARAN!$B$4:$B$500,"April",PEMBAYARAN!$C$4:$C$500,"Minggu 3"),"")</f>
        <v>0</v>
      </c>
      <c r="F20" s="23">
        <f>IF(4&lt;=$D$2,SUMIFS(PEMBAYARAN!$E$4:$E$500,PEMBAYARAN!$A$4:$A$500,$B20,PEMBAYARAN!$B$4:$B$500,"April",PEMBAYARAN!$C$4:$C$500,"Minggu 4"),"")</f>
        <v>0</v>
      </c>
      <c r="G20" s="23" t="str">
        <f>IF(5&lt;=$D$2,SUMIFS(PEMBAYARAN!$E$4:$E$500,PEMBAYARAN!$A$4:$A$500,$B20,PEMBAYARAN!$B$4:$B$500,"April",PEMBAYARAN!$C$4:$C$500,"Minggu 5"),"")</f>
        <v/>
      </c>
      <c r="H20" s="23">
        <f t="shared" si="0"/>
        <v>20000</v>
      </c>
      <c r="I20" s="23">
        <f t="shared" si="1"/>
        <v>0</v>
      </c>
      <c r="J20" s="23">
        <f t="shared" si="2"/>
        <v>20000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-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IF(1&lt;=$D$2,SUMIFS(PEMBAYARAN!$E$4:$E$500,PEMBAYARAN!$A$4:$A$500,$B21,PEMBAYARAN!$B$4:$B$500,"April",PEMBAYARAN!$C$4:$C$500,"Minggu 1"),"")</f>
        <v>0</v>
      </c>
      <c r="D21" s="23">
        <f>IF(2&lt;=$D$2,SUMIFS(PEMBAYARAN!$E$4:$E$500,PEMBAYARAN!$A$4:$A$500,$B21,PEMBAYARAN!$B$4:$B$500,"April",PEMBAYARAN!$C$4:$C$500,"Minggu 2"),"")</f>
        <v>0</v>
      </c>
      <c r="E21" s="23">
        <f>IF(3&lt;=$D$2,SUMIFS(PEMBAYARAN!$E$4:$E$500,PEMBAYARAN!$A$4:$A$500,$B21,PEMBAYARAN!$B$4:$B$500,"April",PEMBAYARAN!$C$4:$C$500,"Minggu 3"),"")</f>
        <v>0</v>
      </c>
      <c r="F21" s="23">
        <f>IF(4&lt;=$D$2,SUMIFS(PEMBAYARAN!$E$4:$E$500,PEMBAYARAN!$A$4:$A$500,$B21,PEMBAYARAN!$B$4:$B$500,"April",PEMBAYARAN!$C$4:$C$500,"Minggu 4"),"")</f>
        <v>0</v>
      </c>
      <c r="G21" s="23" t="str">
        <f>IF(5&lt;=$D$2,SUMIFS(PEMBAYARAN!$E$4:$E$500,PEMBAYARAN!$A$4:$A$500,$B21,PEMBAYARAN!$B$4:$B$500,"April",PEMBAYARAN!$C$4:$C$500,"Minggu 5"),"")</f>
        <v/>
      </c>
      <c r="H21" s="23">
        <f t="shared" si="0"/>
        <v>20000</v>
      </c>
      <c r="I21" s="23">
        <f t="shared" si="1"/>
        <v>0</v>
      </c>
      <c r="J21" s="23">
        <f t="shared" si="2"/>
        <v>20000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-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IF(1&lt;=$D$2,SUMIFS(PEMBAYARAN!$E$4:$E$500,PEMBAYARAN!$A$4:$A$500,$B22,PEMBAYARAN!$B$4:$B$500,"April",PEMBAYARAN!$C$4:$C$500,"Minggu 1"),"")</f>
        <v>0</v>
      </c>
      <c r="D22" s="23">
        <f>IF(2&lt;=$D$2,SUMIFS(PEMBAYARAN!$E$4:$E$500,PEMBAYARAN!$A$4:$A$500,$B22,PEMBAYARAN!$B$4:$B$500,"April",PEMBAYARAN!$C$4:$C$500,"Minggu 2"),"")</f>
        <v>0</v>
      </c>
      <c r="E22" s="23">
        <f>IF(3&lt;=$D$2,SUMIFS(PEMBAYARAN!$E$4:$E$500,PEMBAYARAN!$A$4:$A$500,$B22,PEMBAYARAN!$B$4:$B$500,"April",PEMBAYARAN!$C$4:$C$500,"Minggu 3"),"")</f>
        <v>0</v>
      </c>
      <c r="F22" s="23">
        <f>IF(4&lt;=$D$2,SUMIFS(PEMBAYARAN!$E$4:$E$500,PEMBAYARAN!$A$4:$A$500,$B22,PEMBAYARAN!$B$4:$B$500,"April",PEMBAYARAN!$C$4:$C$500,"Minggu 4"),"")</f>
        <v>0</v>
      </c>
      <c r="G22" s="23" t="str">
        <f>IF(5&lt;=$D$2,SUMIFS(PEMBAYARAN!$E$4:$E$500,PEMBAYARAN!$A$4:$A$500,$B22,PEMBAYARAN!$B$4:$B$500,"April",PEMBAYARAN!$C$4:$C$500,"Minggu 5"),"")</f>
        <v/>
      </c>
      <c r="H22" s="23">
        <f t="shared" si="0"/>
        <v>20000</v>
      </c>
      <c r="I22" s="23">
        <f t="shared" si="1"/>
        <v>0</v>
      </c>
      <c r="J22" s="23">
        <f t="shared" si="2"/>
        <v>20000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-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IF(1&lt;=$D$2,SUMIFS(PEMBAYARAN!$E$4:$E$500,PEMBAYARAN!$A$4:$A$500,$B23,PEMBAYARAN!$B$4:$B$500,"April",PEMBAYARAN!$C$4:$C$500,"Minggu 1"),"")</f>
        <v>0</v>
      </c>
      <c r="D23" s="23">
        <f>IF(2&lt;=$D$2,SUMIFS(PEMBAYARAN!$E$4:$E$500,PEMBAYARAN!$A$4:$A$500,$B23,PEMBAYARAN!$B$4:$B$500,"April",PEMBAYARAN!$C$4:$C$500,"Minggu 2"),"")</f>
        <v>0</v>
      </c>
      <c r="E23" s="23">
        <f>IF(3&lt;=$D$2,SUMIFS(PEMBAYARAN!$E$4:$E$500,PEMBAYARAN!$A$4:$A$500,$B23,PEMBAYARAN!$B$4:$B$500,"April",PEMBAYARAN!$C$4:$C$500,"Minggu 3"),"")</f>
        <v>0</v>
      </c>
      <c r="F23" s="23">
        <f>IF(4&lt;=$D$2,SUMIFS(PEMBAYARAN!$E$4:$E$500,PEMBAYARAN!$A$4:$A$500,$B23,PEMBAYARAN!$B$4:$B$500,"April",PEMBAYARAN!$C$4:$C$500,"Minggu 4"),"")</f>
        <v>0</v>
      </c>
      <c r="G23" s="23" t="str">
        <f>IF(5&lt;=$D$2,SUMIFS(PEMBAYARAN!$E$4:$E$500,PEMBAYARAN!$A$4:$A$500,$B23,PEMBAYARAN!$B$4:$B$500,"April",PEMBAYARAN!$C$4:$C$500,"Minggu 5"),"")</f>
        <v/>
      </c>
      <c r="H23" s="23">
        <f t="shared" si="0"/>
        <v>20000</v>
      </c>
      <c r="I23" s="23">
        <f t="shared" si="1"/>
        <v>0</v>
      </c>
      <c r="J23" s="23">
        <f t="shared" si="2"/>
        <v>20000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-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IF(1&lt;=$D$2,SUMIFS(PEMBAYARAN!$E$4:$E$500,PEMBAYARAN!$A$4:$A$500,$B24,PEMBAYARAN!$B$4:$B$500,"April",PEMBAYARAN!$C$4:$C$500,"Minggu 1"),"")</f>
        <v>0</v>
      </c>
      <c r="D24" s="23">
        <f>IF(2&lt;=$D$2,SUMIFS(PEMBAYARAN!$E$4:$E$500,PEMBAYARAN!$A$4:$A$500,$B24,PEMBAYARAN!$B$4:$B$500,"April",PEMBAYARAN!$C$4:$C$500,"Minggu 2"),"")</f>
        <v>0</v>
      </c>
      <c r="E24" s="23">
        <f>IF(3&lt;=$D$2,SUMIFS(PEMBAYARAN!$E$4:$E$500,PEMBAYARAN!$A$4:$A$500,$B24,PEMBAYARAN!$B$4:$B$500,"April",PEMBAYARAN!$C$4:$C$500,"Minggu 3"),"")</f>
        <v>0</v>
      </c>
      <c r="F24" s="23">
        <f>IF(4&lt;=$D$2,SUMIFS(PEMBAYARAN!$E$4:$E$500,PEMBAYARAN!$A$4:$A$500,$B24,PEMBAYARAN!$B$4:$B$500,"April",PEMBAYARAN!$C$4:$C$500,"Minggu 4"),"")</f>
        <v>0</v>
      </c>
      <c r="G24" s="23" t="str">
        <f>IF(5&lt;=$D$2,SUMIFS(PEMBAYARAN!$E$4:$E$500,PEMBAYARAN!$A$4:$A$500,$B24,PEMBAYARAN!$B$4:$B$500,"April",PEMBAYARAN!$C$4:$C$500,"Minggu 5"),"")</f>
        <v/>
      </c>
      <c r="H24" s="23">
        <f t="shared" si="0"/>
        <v>20000</v>
      </c>
      <c r="I24" s="23">
        <f t="shared" si="1"/>
        <v>0</v>
      </c>
      <c r="J24" s="23">
        <f t="shared" si="2"/>
        <v>20000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-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IF(1&lt;=$D$2,SUMIFS(PEMBAYARAN!$E$4:$E$500,PEMBAYARAN!$A$4:$A$500,$B25,PEMBAYARAN!$B$4:$B$500,"April",PEMBAYARAN!$C$4:$C$500,"Minggu 1"),"")</f>
        <v>0</v>
      </c>
      <c r="D25" s="23">
        <f>IF(2&lt;=$D$2,SUMIFS(PEMBAYARAN!$E$4:$E$500,PEMBAYARAN!$A$4:$A$500,$B25,PEMBAYARAN!$B$4:$B$500,"April",PEMBAYARAN!$C$4:$C$500,"Minggu 2"),"")</f>
        <v>0</v>
      </c>
      <c r="E25" s="23">
        <f>IF(3&lt;=$D$2,SUMIFS(PEMBAYARAN!$E$4:$E$500,PEMBAYARAN!$A$4:$A$500,$B25,PEMBAYARAN!$B$4:$B$500,"April",PEMBAYARAN!$C$4:$C$500,"Minggu 3"),"")</f>
        <v>0</v>
      </c>
      <c r="F25" s="23">
        <f>IF(4&lt;=$D$2,SUMIFS(PEMBAYARAN!$E$4:$E$500,PEMBAYARAN!$A$4:$A$500,$B25,PEMBAYARAN!$B$4:$B$500,"April",PEMBAYARAN!$C$4:$C$500,"Minggu 4"),"")</f>
        <v>0</v>
      </c>
      <c r="G25" s="23" t="str">
        <f>IF(5&lt;=$D$2,SUMIFS(PEMBAYARAN!$E$4:$E$500,PEMBAYARAN!$A$4:$A$500,$B25,PEMBAYARAN!$B$4:$B$500,"April",PEMBAYARAN!$C$4:$C$500,"Minggu 5"),"")</f>
        <v/>
      </c>
      <c r="H25" s="23">
        <f t="shared" si="0"/>
        <v>20000</v>
      </c>
      <c r="I25" s="23">
        <f t="shared" si="1"/>
        <v>0</v>
      </c>
      <c r="J25" s="23">
        <f t="shared" si="2"/>
        <v>20000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-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IF(1&lt;=$D$2,SUMIFS(PEMBAYARAN!$E$4:$E$500,PEMBAYARAN!$A$4:$A$500,$B26,PEMBAYARAN!$B$4:$B$500,"April",PEMBAYARAN!$C$4:$C$500,"Minggu 1"),"")</f>
        <v>0</v>
      </c>
      <c r="D26" s="23">
        <f>IF(2&lt;=$D$2,SUMIFS(PEMBAYARAN!$E$4:$E$500,PEMBAYARAN!$A$4:$A$500,$B26,PEMBAYARAN!$B$4:$B$500,"April",PEMBAYARAN!$C$4:$C$500,"Minggu 2"),"")</f>
        <v>0</v>
      </c>
      <c r="E26" s="23">
        <f>IF(3&lt;=$D$2,SUMIFS(PEMBAYARAN!$E$4:$E$500,PEMBAYARAN!$A$4:$A$500,$B26,PEMBAYARAN!$B$4:$B$500,"April",PEMBAYARAN!$C$4:$C$500,"Minggu 3"),"")</f>
        <v>0</v>
      </c>
      <c r="F26" s="23">
        <f>IF(4&lt;=$D$2,SUMIFS(PEMBAYARAN!$E$4:$E$500,PEMBAYARAN!$A$4:$A$500,$B26,PEMBAYARAN!$B$4:$B$500,"April",PEMBAYARAN!$C$4:$C$500,"Minggu 4"),"")</f>
        <v>0</v>
      </c>
      <c r="G26" s="23" t="str">
        <f>IF(5&lt;=$D$2,SUMIFS(PEMBAYARAN!$E$4:$E$500,PEMBAYARAN!$A$4:$A$500,$B26,PEMBAYARAN!$B$4:$B$500,"April",PEMBAYARAN!$C$4:$C$500,"Minggu 5"),"")</f>
        <v/>
      </c>
      <c r="H26" s="23">
        <f t="shared" si="0"/>
        <v>20000</v>
      </c>
      <c r="I26" s="23">
        <f t="shared" si="1"/>
        <v>0</v>
      </c>
      <c r="J26" s="23">
        <f t="shared" si="2"/>
        <v>20000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-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IF(1&lt;=$D$2,SUMIFS(PEMBAYARAN!$E$4:$E$500,PEMBAYARAN!$A$4:$A$500,$B27,PEMBAYARAN!$B$4:$B$500,"April",PEMBAYARAN!$C$4:$C$500,"Minggu 1"),"")</f>
        <v>0</v>
      </c>
      <c r="D27" s="23">
        <f>IF(2&lt;=$D$2,SUMIFS(PEMBAYARAN!$E$4:$E$500,PEMBAYARAN!$A$4:$A$500,$B27,PEMBAYARAN!$B$4:$B$500,"April",PEMBAYARAN!$C$4:$C$500,"Minggu 2"),"")</f>
        <v>0</v>
      </c>
      <c r="E27" s="23">
        <f>IF(3&lt;=$D$2,SUMIFS(PEMBAYARAN!$E$4:$E$500,PEMBAYARAN!$A$4:$A$500,$B27,PEMBAYARAN!$B$4:$B$500,"April",PEMBAYARAN!$C$4:$C$500,"Minggu 3"),"")</f>
        <v>0</v>
      </c>
      <c r="F27" s="23">
        <f>IF(4&lt;=$D$2,SUMIFS(PEMBAYARAN!$E$4:$E$500,PEMBAYARAN!$A$4:$A$500,$B27,PEMBAYARAN!$B$4:$B$500,"April",PEMBAYARAN!$C$4:$C$500,"Minggu 4"),"")</f>
        <v>0</v>
      </c>
      <c r="G27" s="23" t="str">
        <f>IF(5&lt;=$D$2,SUMIFS(PEMBAYARAN!$E$4:$E$500,PEMBAYARAN!$A$4:$A$500,$B27,PEMBAYARAN!$B$4:$B$500,"April",PEMBAYARAN!$C$4:$C$500,"Minggu 5"),"")</f>
        <v/>
      </c>
      <c r="H27" s="23">
        <f t="shared" si="0"/>
        <v>20000</v>
      </c>
      <c r="I27" s="23">
        <f t="shared" si="1"/>
        <v>0</v>
      </c>
      <c r="J27" s="23">
        <f t="shared" si="2"/>
        <v>20000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-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IF(1&lt;=$D$2,SUMIFS(PEMBAYARAN!$E$4:$E$500,PEMBAYARAN!$A$4:$A$500,$B28,PEMBAYARAN!$B$4:$B$500,"April",PEMBAYARAN!$C$4:$C$500,"Minggu 1"),"")</f>
        <v>0</v>
      </c>
      <c r="D28" s="23">
        <f>IF(2&lt;=$D$2,SUMIFS(PEMBAYARAN!$E$4:$E$500,PEMBAYARAN!$A$4:$A$500,$B28,PEMBAYARAN!$B$4:$B$500,"April",PEMBAYARAN!$C$4:$C$500,"Minggu 2"),"")</f>
        <v>0</v>
      </c>
      <c r="E28" s="23">
        <f>IF(3&lt;=$D$2,SUMIFS(PEMBAYARAN!$E$4:$E$500,PEMBAYARAN!$A$4:$A$500,$B28,PEMBAYARAN!$B$4:$B$500,"April",PEMBAYARAN!$C$4:$C$500,"Minggu 3"),"")</f>
        <v>0</v>
      </c>
      <c r="F28" s="23">
        <f>IF(4&lt;=$D$2,SUMIFS(PEMBAYARAN!$E$4:$E$500,PEMBAYARAN!$A$4:$A$500,$B28,PEMBAYARAN!$B$4:$B$500,"April",PEMBAYARAN!$C$4:$C$500,"Minggu 4"),"")</f>
        <v>0</v>
      </c>
      <c r="G28" s="23" t="str">
        <f>IF(5&lt;=$D$2,SUMIFS(PEMBAYARAN!$E$4:$E$500,PEMBAYARAN!$A$4:$A$500,$B28,PEMBAYARAN!$B$4:$B$500,"April",PEMBAYARAN!$C$4:$C$500,"Minggu 5"),"")</f>
        <v/>
      </c>
      <c r="H28" s="23">
        <f t="shared" si="0"/>
        <v>20000</v>
      </c>
      <c r="I28" s="23">
        <f t="shared" si="1"/>
        <v>0</v>
      </c>
      <c r="J28" s="23">
        <f t="shared" si="2"/>
        <v>20000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-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IF(1&lt;=$D$2,SUMIFS(PEMBAYARAN!$E$4:$E$500,PEMBAYARAN!$A$4:$A$500,$B29,PEMBAYARAN!$B$4:$B$500,"April",PEMBAYARAN!$C$4:$C$500,"Minggu 1"),"")</f>
        <v>0</v>
      </c>
      <c r="D29" s="23">
        <f>IF(2&lt;=$D$2,SUMIFS(PEMBAYARAN!$E$4:$E$500,PEMBAYARAN!$A$4:$A$500,$B29,PEMBAYARAN!$B$4:$B$500,"April",PEMBAYARAN!$C$4:$C$500,"Minggu 2"),"")</f>
        <v>0</v>
      </c>
      <c r="E29" s="23">
        <f>IF(3&lt;=$D$2,SUMIFS(PEMBAYARAN!$E$4:$E$500,PEMBAYARAN!$A$4:$A$500,$B29,PEMBAYARAN!$B$4:$B$500,"April",PEMBAYARAN!$C$4:$C$500,"Minggu 3"),"")</f>
        <v>0</v>
      </c>
      <c r="F29" s="23">
        <f>IF(4&lt;=$D$2,SUMIFS(PEMBAYARAN!$E$4:$E$500,PEMBAYARAN!$A$4:$A$500,$B29,PEMBAYARAN!$B$4:$B$500,"April",PEMBAYARAN!$C$4:$C$500,"Minggu 4"),"")</f>
        <v>0</v>
      </c>
      <c r="G29" s="23" t="str">
        <f>IF(5&lt;=$D$2,SUMIFS(PEMBAYARAN!$E$4:$E$500,PEMBAYARAN!$A$4:$A$500,$B29,PEMBAYARAN!$B$4:$B$500,"April",PEMBAYARAN!$C$4:$C$500,"Minggu 5"),"")</f>
        <v/>
      </c>
      <c r="H29" s="23">
        <f t="shared" si="0"/>
        <v>20000</v>
      </c>
      <c r="I29" s="23">
        <f t="shared" si="1"/>
        <v>0</v>
      </c>
      <c r="J29" s="23">
        <f t="shared" si="2"/>
        <v>20000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-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IF(1&lt;=$D$2,SUMIFS(PEMBAYARAN!$E$4:$E$500,PEMBAYARAN!$A$4:$A$500,$B30,PEMBAYARAN!$B$4:$B$500,"April",PEMBAYARAN!$C$4:$C$500,"Minggu 1"),"")</f>
        <v>0</v>
      </c>
      <c r="D30" s="23">
        <f>IF(2&lt;=$D$2,SUMIFS(PEMBAYARAN!$E$4:$E$500,PEMBAYARAN!$A$4:$A$500,$B30,PEMBAYARAN!$B$4:$B$500,"April",PEMBAYARAN!$C$4:$C$500,"Minggu 2"),"")</f>
        <v>0</v>
      </c>
      <c r="E30" s="23">
        <f>IF(3&lt;=$D$2,SUMIFS(PEMBAYARAN!$E$4:$E$500,PEMBAYARAN!$A$4:$A$500,$B30,PEMBAYARAN!$B$4:$B$500,"April",PEMBAYARAN!$C$4:$C$500,"Minggu 3"),"")</f>
        <v>0</v>
      </c>
      <c r="F30" s="23">
        <f>IF(4&lt;=$D$2,SUMIFS(PEMBAYARAN!$E$4:$E$500,PEMBAYARAN!$A$4:$A$500,$B30,PEMBAYARAN!$B$4:$B$500,"April",PEMBAYARAN!$C$4:$C$500,"Minggu 4"),"")</f>
        <v>0</v>
      </c>
      <c r="G30" s="23" t="str">
        <f>IF(5&lt;=$D$2,SUMIFS(PEMBAYARAN!$E$4:$E$500,PEMBAYARAN!$A$4:$A$500,$B30,PEMBAYARAN!$B$4:$B$500,"April",PEMBAYARAN!$C$4:$C$500,"Minggu 5"),"")</f>
        <v/>
      </c>
      <c r="H30" s="23">
        <f t="shared" si="0"/>
        <v>20000</v>
      </c>
      <c r="I30" s="23">
        <f t="shared" si="1"/>
        <v>0</v>
      </c>
      <c r="J30" s="23">
        <f t="shared" si="2"/>
        <v>20000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-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IF(1&lt;=$D$2,SUMIFS(PEMBAYARAN!$E$4:$E$500,PEMBAYARAN!$A$4:$A$500,$B31,PEMBAYARAN!$B$4:$B$500,"April",PEMBAYARAN!$C$4:$C$500,"Minggu 1"),"")</f>
        <v>0</v>
      </c>
      <c r="D31" s="23">
        <f>IF(2&lt;=$D$2,SUMIFS(PEMBAYARAN!$E$4:$E$500,PEMBAYARAN!$A$4:$A$500,$B31,PEMBAYARAN!$B$4:$B$500,"April",PEMBAYARAN!$C$4:$C$500,"Minggu 2"),"")</f>
        <v>0</v>
      </c>
      <c r="E31" s="23">
        <f>IF(3&lt;=$D$2,SUMIFS(PEMBAYARAN!$E$4:$E$500,PEMBAYARAN!$A$4:$A$500,$B31,PEMBAYARAN!$B$4:$B$500,"April",PEMBAYARAN!$C$4:$C$500,"Minggu 3"),"")</f>
        <v>0</v>
      </c>
      <c r="F31" s="23">
        <f>IF(4&lt;=$D$2,SUMIFS(PEMBAYARAN!$E$4:$E$500,PEMBAYARAN!$A$4:$A$500,$B31,PEMBAYARAN!$B$4:$B$500,"April",PEMBAYARAN!$C$4:$C$500,"Minggu 4"),"")</f>
        <v>0</v>
      </c>
      <c r="G31" s="23" t="str">
        <f>IF(5&lt;=$D$2,SUMIFS(PEMBAYARAN!$E$4:$E$500,PEMBAYARAN!$A$4:$A$500,$B31,PEMBAYARAN!$B$4:$B$500,"April",PEMBAYARAN!$C$4:$C$500,"Minggu 5"),"")</f>
        <v/>
      </c>
      <c r="H31" s="23">
        <f t="shared" si="0"/>
        <v>20000</v>
      </c>
      <c r="I31" s="23">
        <f t="shared" si="1"/>
        <v>0</v>
      </c>
      <c r="J31" s="23">
        <f t="shared" si="2"/>
        <v>20000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-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IF(1&lt;=$D$2,SUMIFS(PEMBAYARAN!$E$4:$E$500,PEMBAYARAN!$A$4:$A$500,$B32,PEMBAYARAN!$B$4:$B$500,"April",PEMBAYARAN!$C$4:$C$500,"Minggu 1"),"")</f>
        <v>0</v>
      </c>
      <c r="D32" s="23">
        <f>IF(2&lt;=$D$2,SUMIFS(PEMBAYARAN!$E$4:$E$500,PEMBAYARAN!$A$4:$A$500,$B32,PEMBAYARAN!$B$4:$B$500,"April",PEMBAYARAN!$C$4:$C$500,"Minggu 2"),"")</f>
        <v>0</v>
      </c>
      <c r="E32" s="23">
        <f>IF(3&lt;=$D$2,SUMIFS(PEMBAYARAN!$E$4:$E$500,PEMBAYARAN!$A$4:$A$500,$B32,PEMBAYARAN!$B$4:$B$500,"April",PEMBAYARAN!$C$4:$C$500,"Minggu 3"),"")</f>
        <v>0</v>
      </c>
      <c r="F32" s="23">
        <f>IF(4&lt;=$D$2,SUMIFS(PEMBAYARAN!$E$4:$E$500,PEMBAYARAN!$A$4:$A$500,$B32,PEMBAYARAN!$B$4:$B$500,"April",PEMBAYARAN!$C$4:$C$500,"Minggu 4"),"")</f>
        <v>0</v>
      </c>
      <c r="G32" s="23" t="str">
        <f>IF(5&lt;=$D$2,SUMIFS(PEMBAYARAN!$E$4:$E$500,PEMBAYARAN!$A$4:$A$500,$B32,PEMBAYARAN!$B$4:$B$500,"April",PEMBAYARAN!$C$4:$C$500,"Minggu 5"),"")</f>
        <v/>
      </c>
      <c r="H32" s="23">
        <f t="shared" si="0"/>
        <v>20000</v>
      </c>
      <c r="I32" s="23">
        <f t="shared" si="1"/>
        <v>0</v>
      </c>
      <c r="J32" s="23">
        <f t="shared" si="2"/>
        <v>20000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-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IF(1&lt;=$D$2,SUMIFS(PEMBAYARAN!$E$4:$E$500,PEMBAYARAN!$A$4:$A$500,$B33,PEMBAYARAN!$B$4:$B$500,"April",PEMBAYARAN!$C$4:$C$500,"Minggu 1"),"")</f>
        <v>0</v>
      </c>
      <c r="D33" s="23">
        <f>IF(2&lt;=$D$2,SUMIFS(PEMBAYARAN!$E$4:$E$500,PEMBAYARAN!$A$4:$A$500,$B33,PEMBAYARAN!$B$4:$B$500,"April",PEMBAYARAN!$C$4:$C$500,"Minggu 2"),"")</f>
        <v>0</v>
      </c>
      <c r="E33" s="23">
        <f>IF(3&lt;=$D$2,SUMIFS(PEMBAYARAN!$E$4:$E$500,PEMBAYARAN!$A$4:$A$500,$B33,PEMBAYARAN!$B$4:$B$500,"April",PEMBAYARAN!$C$4:$C$500,"Minggu 3"),"")</f>
        <v>0</v>
      </c>
      <c r="F33" s="23">
        <f>IF(4&lt;=$D$2,SUMIFS(PEMBAYARAN!$E$4:$E$500,PEMBAYARAN!$A$4:$A$500,$B33,PEMBAYARAN!$B$4:$B$500,"April",PEMBAYARAN!$C$4:$C$500,"Minggu 4"),"")</f>
        <v>0</v>
      </c>
      <c r="G33" s="23" t="str">
        <f>IF(5&lt;=$D$2,SUMIFS(PEMBAYARAN!$E$4:$E$500,PEMBAYARAN!$A$4:$A$500,$B33,PEMBAYARAN!$B$4:$B$500,"April",PEMBAYARAN!$C$4:$C$500,"Minggu 5"),"")</f>
        <v/>
      </c>
      <c r="H33" s="23">
        <f t="shared" si="0"/>
        <v>20000</v>
      </c>
      <c r="I33" s="23">
        <f t="shared" si="1"/>
        <v>0</v>
      </c>
      <c r="J33" s="23">
        <f t="shared" si="2"/>
        <v>20000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-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IF(1&lt;=$D$2,SUMIFS(PEMBAYARAN!$E$4:$E$500,PEMBAYARAN!$A$4:$A$500,$B34,PEMBAYARAN!$B$4:$B$500,"April",PEMBAYARAN!$C$4:$C$500,"Minggu 1"),"")</f>
        <v>0</v>
      </c>
      <c r="D34" s="23">
        <f>IF(2&lt;=$D$2,SUMIFS(PEMBAYARAN!$E$4:$E$500,PEMBAYARAN!$A$4:$A$500,$B34,PEMBAYARAN!$B$4:$B$500,"April",PEMBAYARAN!$C$4:$C$500,"Minggu 2"),"")</f>
        <v>0</v>
      </c>
      <c r="E34" s="23">
        <f>IF(3&lt;=$D$2,SUMIFS(PEMBAYARAN!$E$4:$E$500,PEMBAYARAN!$A$4:$A$500,$B34,PEMBAYARAN!$B$4:$B$500,"April",PEMBAYARAN!$C$4:$C$500,"Minggu 3"),"")</f>
        <v>0</v>
      </c>
      <c r="F34" s="23">
        <f>IF(4&lt;=$D$2,SUMIFS(PEMBAYARAN!$E$4:$E$500,PEMBAYARAN!$A$4:$A$500,$B34,PEMBAYARAN!$B$4:$B$500,"April",PEMBAYARAN!$C$4:$C$500,"Minggu 4"),"")</f>
        <v>0</v>
      </c>
      <c r="G34" s="23" t="str">
        <f>IF(5&lt;=$D$2,SUMIFS(PEMBAYARAN!$E$4:$E$500,PEMBAYARAN!$A$4:$A$500,$B34,PEMBAYARAN!$B$4:$B$500,"April",PEMBAYARAN!$C$4:$C$500,"Minggu 5"),"")</f>
        <v/>
      </c>
      <c r="H34" s="23">
        <f t="shared" si="0"/>
        <v>20000</v>
      </c>
      <c r="I34" s="23">
        <f t="shared" si="1"/>
        <v>0</v>
      </c>
      <c r="J34" s="23">
        <f t="shared" si="2"/>
        <v>20000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-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IF(1&lt;=$D$2,SUMIFS(PEMBAYARAN!$E$4:$E$500,PEMBAYARAN!$A$4:$A$500,$B35,PEMBAYARAN!$B$4:$B$500,"April",PEMBAYARAN!$C$4:$C$500,"Minggu 1"),"")</f>
        <v>0</v>
      </c>
      <c r="D35" s="23">
        <f>IF(2&lt;=$D$2,SUMIFS(PEMBAYARAN!$E$4:$E$500,PEMBAYARAN!$A$4:$A$500,$B35,PEMBAYARAN!$B$4:$B$500,"April",PEMBAYARAN!$C$4:$C$500,"Minggu 2"),"")</f>
        <v>0</v>
      </c>
      <c r="E35" s="23">
        <f>IF(3&lt;=$D$2,SUMIFS(PEMBAYARAN!$E$4:$E$500,PEMBAYARAN!$A$4:$A$500,$B35,PEMBAYARAN!$B$4:$B$500,"April",PEMBAYARAN!$C$4:$C$500,"Minggu 3"),"")</f>
        <v>0</v>
      </c>
      <c r="F35" s="23">
        <f>IF(4&lt;=$D$2,SUMIFS(PEMBAYARAN!$E$4:$E$500,PEMBAYARAN!$A$4:$A$500,$B35,PEMBAYARAN!$B$4:$B$500,"April",PEMBAYARAN!$C$4:$C$500,"Minggu 4"),"")</f>
        <v>0</v>
      </c>
      <c r="G35" s="23" t="str">
        <f>IF(5&lt;=$D$2,SUMIFS(PEMBAYARAN!$E$4:$E$500,PEMBAYARAN!$A$4:$A$500,$B35,PEMBAYARAN!$B$4:$B$500,"April",PEMBAYARAN!$C$4:$C$500,"Minggu 5"),"")</f>
        <v/>
      </c>
      <c r="H35" s="23">
        <f t="shared" si="0"/>
        <v>20000</v>
      </c>
      <c r="I35" s="23">
        <f t="shared" si="1"/>
        <v>0</v>
      </c>
      <c r="J35" s="23">
        <f t="shared" si="2"/>
        <v>20000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-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IF(1&lt;=$D$2,SUMIFS(PEMBAYARAN!$E$4:$E$500,PEMBAYARAN!$A$4:$A$500,$B36,PEMBAYARAN!$B$4:$B$500,"April",PEMBAYARAN!$C$4:$C$500,"Minggu 1"),"")</f>
        <v>0</v>
      </c>
      <c r="D36" s="23">
        <f>IF(2&lt;=$D$2,SUMIFS(PEMBAYARAN!$E$4:$E$500,PEMBAYARAN!$A$4:$A$500,$B36,PEMBAYARAN!$B$4:$B$500,"April",PEMBAYARAN!$C$4:$C$500,"Minggu 2"),"")</f>
        <v>0</v>
      </c>
      <c r="E36" s="23">
        <f>IF(3&lt;=$D$2,SUMIFS(PEMBAYARAN!$E$4:$E$500,PEMBAYARAN!$A$4:$A$500,$B36,PEMBAYARAN!$B$4:$B$500,"April",PEMBAYARAN!$C$4:$C$500,"Minggu 3"),"")</f>
        <v>0</v>
      </c>
      <c r="F36" s="23">
        <f>IF(4&lt;=$D$2,SUMIFS(PEMBAYARAN!$E$4:$E$500,PEMBAYARAN!$A$4:$A$500,$B36,PEMBAYARAN!$B$4:$B$500,"April",PEMBAYARAN!$C$4:$C$500,"Minggu 4"),"")</f>
        <v>0</v>
      </c>
      <c r="G36" s="23" t="str">
        <f>IF(5&lt;=$D$2,SUMIFS(PEMBAYARAN!$E$4:$E$500,PEMBAYARAN!$A$4:$A$500,$B36,PEMBAYARAN!$B$4:$B$500,"April",PEMBAYARAN!$C$4:$C$500,"Minggu 5"),"")</f>
        <v/>
      </c>
      <c r="H36" s="23">
        <f t="shared" si="0"/>
        <v>20000</v>
      </c>
      <c r="I36" s="23">
        <f t="shared" si="1"/>
        <v>0</v>
      </c>
      <c r="J36" s="23">
        <f t="shared" si="2"/>
        <v>20000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-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IF(1&lt;=$D$2,SUMIFS(PEMBAYARAN!$E$4:$E$500,PEMBAYARAN!$A$4:$A$500,$B37,PEMBAYARAN!$B$4:$B$500,"April",PEMBAYARAN!$C$4:$C$500,"Minggu 1"),"")</f>
        <v>0</v>
      </c>
      <c r="D37" s="23">
        <f>IF(2&lt;=$D$2,SUMIFS(PEMBAYARAN!$E$4:$E$500,PEMBAYARAN!$A$4:$A$500,$B37,PEMBAYARAN!$B$4:$B$500,"April",PEMBAYARAN!$C$4:$C$500,"Minggu 2"),"")</f>
        <v>0</v>
      </c>
      <c r="E37" s="23">
        <f>IF(3&lt;=$D$2,SUMIFS(PEMBAYARAN!$E$4:$E$500,PEMBAYARAN!$A$4:$A$500,$B37,PEMBAYARAN!$B$4:$B$500,"April",PEMBAYARAN!$C$4:$C$500,"Minggu 3"),"")</f>
        <v>0</v>
      </c>
      <c r="F37" s="23">
        <f>IF(4&lt;=$D$2,SUMIFS(PEMBAYARAN!$E$4:$E$500,PEMBAYARAN!$A$4:$A$500,$B37,PEMBAYARAN!$B$4:$B$500,"April",PEMBAYARAN!$C$4:$C$500,"Minggu 4"),"")</f>
        <v>0</v>
      </c>
      <c r="G37" s="23" t="str">
        <f>IF(5&lt;=$D$2,SUMIFS(PEMBAYARAN!$E$4:$E$500,PEMBAYARAN!$A$4:$A$500,$B37,PEMBAYARAN!$B$4:$B$500,"April",PEMBAYARAN!$C$4:$C$500,"Minggu 5"),"")</f>
        <v/>
      </c>
      <c r="H37" s="23">
        <f t="shared" si="0"/>
        <v>20000</v>
      </c>
      <c r="I37" s="23">
        <f t="shared" si="1"/>
        <v>0</v>
      </c>
      <c r="J37" s="23">
        <f t="shared" si="2"/>
        <v>20000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-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IF(1&lt;=$D$2,SUMIFS(PEMBAYARAN!$E$4:$E$500,PEMBAYARAN!$A$4:$A$500,$B38,PEMBAYARAN!$B$4:$B$500,"April",PEMBAYARAN!$C$4:$C$500,"Minggu 1"),"")</f>
        <v>0</v>
      </c>
      <c r="D38" s="23">
        <f>IF(2&lt;=$D$2,SUMIFS(PEMBAYARAN!$E$4:$E$500,PEMBAYARAN!$A$4:$A$500,$B38,PEMBAYARAN!$B$4:$B$500,"April",PEMBAYARAN!$C$4:$C$500,"Minggu 2"),"")</f>
        <v>0</v>
      </c>
      <c r="E38" s="23">
        <f>IF(3&lt;=$D$2,SUMIFS(PEMBAYARAN!$E$4:$E$500,PEMBAYARAN!$A$4:$A$500,$B38,PEMBAYARAN!$B$4:$B$500,"April",PEMBAYARAN!$C$4:$C$500,"Minggu 3"),"")</f>
        <v>0</v>
      </c>
      <c r="F38" s="23">
        <f>IF(4&lt;=$D$2,SUMIFS(PEMBAYARAN!$E$4:$E$500,PEMBAYARAN!$A$4:$A$500,$B38,PEMBAYARAN!$B$4:$B$500,"April",PEMBAYARAN!$C$4:$C$500,"Minggu 4"),"")</f>
        <v>0</v>
      </c>
      <c r="G38" s="23" t="str">
        <f>IF(5&lt;=$D$2,SUMIFS(PEMBAYARAN!$E$4:$E$500,PEMBAYARAN!$A$4:$A$500,$B38,PEMBAYARAN!$B$4:$B$500,"April",PEMBAYARAN!$C$4:$C$500,"Minggu 5"),"")</f>
        <v/>
      </c>
      <c r="H38" s="23">
        <f t="shared" si="0"/>
        <v>20000</v>
      </c>
      <c r="I38" s="23">
        <f t="shared" si="1"/>
        <v>0</v>
      </c>
      <c r="J38" s="23">
        <f t="shared" si="2"/>
        <v>20000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-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IF(1&lt;=$D$2,SUMIFS(PEMBAYARAN!$E$4:$E$500,PEMBAYARAN!$A$4:$A$500,$B39,PEMBAYARAN!$B$4:$B$500,"April",PEMBAYARAN!$C$4:$C$500,"Minggu 1"),"")</f>
        <v>0</v>
      </c>
      <c r="D39" s="23">
        <f>IF(2&lt;=$D$2,SUMIFS(PEMBAYARAN!$E$4:$E$500,PEMBAYARAN!$A$4:$A$500,$B39,PEMBAYARAN!$B$4:$B$500,"April",PEMBAYARAN!$C$4:$C$500,"Minggu 2"),"")</f>
        <v>0</v>
      </c>
      <c r="E39" s="23">
        <f>IF(3&lt;=$D$2,SUMIFS(PEMBAYARAN!$E$4:$E$500,PEMBAYARAN!$A$4:$A$500,$B39,PEMBAYARAN!$B$4:$B$500,"April",PEMBAYARAN!$C$4:$C$500,"Minggu 3"),"")</f>
        <v>0</v>
      </c>
      <c r="F39" s="23">
        <f>IF(4&lt;=$D$2,SUMIFS(PEMBAYARAN!$E$4:$E$500,PEMBAYARAN!$A$4:$A$500,$B39,PEMBAYARAN!$B$4:$B$500,"April",PEMBAYARAN!$C$4:$C$500,"Minggu 4"),"")</f>
        <v>0</v>
      </c>
      <c r="G39" s="23" t="str">
        <f>IF(5&lt;=$D$2,SUMIFS(PEMBAYARAN!$E$4:$E$500,PEMBAYARAN!$A$4:$A$500,$B39,PEMBAYARAN!$B$4:$B$500,"April",PEMBAYARAN!$C$4:$C$500,"Minggu 5"),"")</f>
        <v/>
      </c>
      <c r="H39" s="23">
        <f t="shared" si="0"/>
        <v>20000</v>
      </c>
      <c r="I39" s="23">
        <f t="shared" si="1"/>
        <v>0</v>
      </c>
      <c r="J39" s="23">
        <f t="shared" si="2"/>
        <v>20000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-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IF(1&lt;=$D$2,SUMIFS(PEMBAYARAN!$E$4:$E$500,PEMBAYARAN!$A$4:$A$500,$B40,PEMBAYARAN!$B$4:$B$500,"April",PEMBAYARAN!$C$4:$C$500,"Minggu 1"),"")</f>
        <v>0</v>
      </c>
      <c r="D40" s="23">
        <f>IF(2&lt;=$D$2,SUMIFS(PEMBAYARAN!$E$4:$E$500,PEMBAYARAN!$A$4:$A$500,$B40,PEMBAYARAN!$B$4:$B$500,"April",PEMBAYARAN!$C$4:$C$500,"Minggu 2"),"")</f>
        <v>0</v>
      </c>
      <c r="E40" s="23">
        <f>IF(3&lt;=$D$2,SUMIFS(PEMBAYARAN!$E$4:$E$500,PEMBAYARAN!$A$4:$A$500,$B40,PEMBAYARAN!$B$4:$B$500,"April",PEMBAYARAN!$C$4:$C$500,"Minggu 3"),"")</f>
        <v>0</v>
      </c>
      <c r="F40" s="23">
        <f>IF(4&lt;=$D$2,SUMIFS(PEMBAYARAN!$E$4:$E$500,PEMBAYARAN!$A$4:$A$500,$B40,PEMBAYARAN!$B$4:$B$500,"April",PEMBAYARAN!$C$4:$C$500,"Minggu 4"),"")</f>
        <v>0</v>
      </c>
      <c r="G40" s="23" t="str">
        <f>IF(5&lt;=$D$2,SUMIFS(PEMBAYARAN!$E$4:$E$500,PEMBAYARAN!$A$4:$A$500,$B40,PEMBAYARAN!$B$4:$B$500,"April",PEMBAYARAN!$C$4:$C$500,"Minggu 5"),"")</f>
        <v/>
      </c>
      <c r="H40" s="23">
        <f t="shared" si="0"/>
        <v>20000</v>
      </c>
      <c r="I40" s="23">
        <f t="shared" si="1"/>
        <v>0</v>
      </c>
      <c r="J40" s="23">
        <f t="shared" si="2"/>
        <v>20000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-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IF(1&lt;=$D$2,SUMIFS(PEMBAYARAN!$E$4:$E$500,PEMBAYARAN!$A$4:$A$500,$B41,PEMBAYARAN!$B$4:$B$500,"April",PEMBAYARAN!$C$4:$C$500,"Minggu 1"),"")</f>
        <v>0</v>
      </c>
      <c r="D41" s="23">
        <f>IF(2&lt;=$D$2,SUMIFS(PEMBAYARAN!$E$4:$E$500,PEMBAYARAN!$A$4:$A$500,$B41,PEMBAYARAN!$B$4:$B$500,"April",PEMBAYARAN!$C$4:$C$500,"Minggu 2"),"")</f>
        <v>0</v>
      </c>
      <c r="E41" s="23">
        <f>IF(3&lt;=$D$2,SUMIFS(PEMBAYARAN!$E$4:$E$500,PEMBAYARAN!$A$4:$A$500,$B41,PEMBAYARAN!$B$4:$B$500,"April",PEMBAYARAN!$C$4:$C$500,"Minggu 3"),"")</f>
        <v>0</v>
      </c>
      <c r="F41" s="23">
        <f>IF(4&lt;=$D$2,SUMIFS(PEMBAYARAN!$E$4:$E$500,PEMBAYARAN!$A$4:$A$500,$B41,PEMBAYARAN!$B$4:$B$500,"April",PEMBAYARAN!$C$4:$C$500,"Minggu 4"),"")</f>
        <v>0</v>
      </c>
      <c r="G41" s="23" t="str">
        <f>IF(5&lt;=$D$2,SUMIFS(PEMBAYARAN!$E$4:$E$500,PEMBAYARAN!$A$4:$A$500,$B41,PEMBAYARAN!$B$4:$B$500,"April",PEMBAYARAN!$C$4:$C$500,"Minggu 5"),"")</f>
        <v/>
      </c>
      <c r="H41" s="23">
        <f t="shared" si="0"/>
        <v>20000</v>
      </c>
      <c r="I41" s="23">
        <f t="shared" si="1"/>
        <v>0</v>
      </c>
      <c r="J41" s="23">
        <f t="shared" si="2"/>
        <v>20000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-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IF(1&lt;=$D$2,SUMIFS(PEMBAYARAN!$E$4:$E$500,PEMBAYARAN!$A$4:$A$500,$B42,PEMBAYARAN!$B$4:$B$500,"April",PEMBAYARAN!$C$4:$C$500,"Minggu 1"),"")</f>
        <v>0</v>
      </c>
      <c r="D42" s="23">
        <f>IF(2&lt;=$D$2,SUMIFS(PEMBAYARAN!$E$4:$E$500,PEMBAYARAN!$A$4:$A$500,$B42,PEMBAYARAN!$B$4:$B$500,"April",PEMBAYARAN!$C$4:$C$500,"Minggu 2"),"")</f>
        <v>0</v>
      </c>
      <c r="E42" s="23">
        <f>IF(3&lt;=$D$2,SUMIFS(PEMBAYARAN!$E$4:$E$500,PEMBAYARAN!$A$4:$A$500,$B42,PEMBAYARAN!$B$4:$B$500,"April",PEMBAYARAN!$C$4:$C$500,"Minggu 3"),"")</f>
        <v>0</v>
      </c>
      <c r="F42" s="23">
        <f>IF(4&lt;=$D$2,SUMIFS(PEMBAYARAN!$E$4:$E$500,PEMBAYARAN!$A$4:$A$500,$B42,PEMBAYARAN!$B$4:$B$500,"April",PEMBAYARAN!$C$4:$C$500,"Minggu 4"),"")</f>
        <v>0</v>
      </c>
      <c r="G42" s="23" t="str">
        <f>IF(5&lt;=$D$2,SUMIFS(PEMBAYARAN!$E$4:$E$500,PEMBAYARAN!$A$4:$A$500,$B42,PEMBAYARAN!$B$4:$B$500,"April",PEMBAYARAN!$C$4:$C$500,"Minggu 5"),"")</f>
        <v/>
      </c>
      <c r="H42" s="23">
        <f t="shared" si="0"/>
        <v>20000</v>
      </c>
      <c r="I42" s="23">
        <f t="shared" si="1"/>
        <v>0</v>
      </c>
      <c r="J42" s="23">
        <f t="shared" si="2"/>
        <v>20000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-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IF(1&lt;=$D$2,SUMIFS(PEMBAYARAN!$E$4:$E$500,PEMBAYARAN!$A$4:$A$500,$B43,PEMBAYARAN!$B$4:$B$500,"April",PEMBAYARAN!$C$4:$C$500,"Minggu 1"),"")</f>
        <v>0</v>
      </c>
      <c r="D43" s="23">
        <f>IF(2&lt;=$D$2,SUMIFS(PEMBAYARAN!$E$4:$E$500,PEMBAYARAN!$A$4:$A$500,$B43,PEMBAYARAN!$B$4:$B$500,"April",PEMBAYARAN!$C$4:$C$500,"Minggu 2"),"")</f>
        <v>0</v>
      </c>
      <c r="E43" s="23">
        <f>IF(3&lt;=$D$2,SUMIFS(PEMBAYARAN!$E$4:$E$500,PEMBAYARAN!$A$4:$A$500,$B43,PEMBAYARAN!$B$4:$B$500,"April",PEMBAYARAN!$C$4:$C$500,"Minggu 3"),"")</f>
        <v>0</v>
      </c>
      <c r="F43" s="23">
        <f>IF(4&lt;=$D$2,SUMIFS(PEMBAYARAN!$E$4:$E$500,PEMBAYARAN!$A$4:$A$500,$B43,PEMBAYARAN!$B$4:$B$500,"April",PEMBAYARAN!$C$4:$C$500,"Minggu 4"),"")</f>
        <v>0</v>
      </c>
      <c r="G43" s="23" t="str">
        <f>IF(5&lt;=$D$2,SUMIFS(PEMBAYARAN!$E$4:$E$500,PEMBAYARAN!$A$4:$A$500,$B43,PEMBAYARAN!$B$4:$B$500,"April",PEMBAYARAN!$C$4:$C$500,"Minggu 5"),"")</f>
        <v/>
      </c>
      <c r="H43" s="23">
        <f t="shared" si="0"/>
        <v>20000</v>
      </c>
      <c r="I43" s="23">
        <f t="shared" si="1"/>
        <v>0</v>
      </c>
      <c r="J43" s="23">
        <f t="shared" si="2"/>
        <v>20000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-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IF(1&lt;=$D$2,SUMIFS(PEMBAYARAN!$E$4:$E$500,PEMBAYARAN!$A$4:$A$500,$B44,PEMBAYARAN!$B$4:$B$500,"April",PEMBAYARAN!$C$4:$C$500,"Minggu 1"),"")</f>
        <v>0</v>
      </c>
      <c r="D44" s="23">
        <f>IF(2&lt;=$D$2,SUMIFS(PEMBAYARAN!$E$4:$E$500,PEMBAYARAN!$A$4:$A$500,$B44,PEMBAYARAN!$B$4:$B$500,"April",PEMBAYARAN!$C$4:$C$500,"Minggu 2"),"")</f>
        <v>0</v>
      </c>
      <c r="E44" s="23">
        <f>IF(3&lt;=$D$2,SUMIFS(PEMBAYARAN!$E$4:$E$500,PEMBAYARAN!$A$4:$A$500,$B44,PEMBAYARAN!$B$4:$B$500,"April",PEMBAYARAN!$C$4:$C$500,"Minggu 3"),"")</f>
        <v>0</v>
      </c>
      <c r="F44" s="23">
        <f>IF(4&lt;=$D$2,SUMIFS(PEMBAYARAN!$E$4:$E$500,PEMBAYARAN!$A$4:$A$500,$B44,PEMBAYARAN!$B$4:$B$500,"April",PEMBAYARAN!$C$4:$C$500,"Minggu 4"),"")</f>
        <v>0</v>
      </c>
      <c r="G44" s="23" t="str">
        <f>IF(5&lt;=$D$2,SUMIFS(PEMBAYARAN!$E$4:$E$500,PEMBAYARAN!$A$4:$A$500,$B44,PEMBAYARAN!$B$4:$B$500,"April",PEMBAYARAN!$C$4:$C$500,"Minggu 5"),"")</f>
        <v/>
      </c>
      <c r="H44" s="23">
        <f t="shared" si="0"/>
        <v>20000</v>
      </c>
      <c r="I44" s="23">
        <f t="shared" si="1"/>
        <v>0</v>
      </c>
      <c r="J44" s="23">
        <f t="shared" si="2"/>
        <v>20000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-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IF(1&lt;=$D$2,SUMIFS(PEMBAYARAN!$E$4:$E$500,PEMBAYARAN!$A$4:$A$500,$B45,PEMBAYARAN!$B$4:$B$500,"April",PEMBAYARAN!$C$4:$C$500,"Minggu 1"),"")</f>
        <v>0</v>
      </c>
      <c r="D45" s="23">
        <f>IF(2&lt;=$D$2,SUMIFS(PEMBAYARAN!$E$4:$E$500,PEMBAYARAN!$A$4:$A$500,$B45,PEMBAYARAN!$B$4:$B$500,"April",PEMBAYARAN!$C$4:$C$500,"Minggu 2"),"")</f>
        <v>0</v>
      </c>
      <c r="E45" s="23">
        <f>IF(3&lt;=$D$2,SUMIFS(PEMBAYARAN!$E$4:$E$500,PEMBAYARAN!$A$4:$A$500,$B45,PEMBAYARAN!$B$4:$B$500,"April",PEMBAYARAN!$C$4:$C$500,"Minggu 3"),"")</f>
        <v>0</v>
      </c>
      <c r="F45" s="23">
        <f>IF(4&lt;=$D$2,SUMIFS(PEMBAYARAN!$E$4:$E$500,PEMBAYARAN!$A$4:$A$500,$B45,PEMBAYARAN!$B$4:$B$500,"April",PEMBAYARAN!$C$4:$C$500,"Minggu 4"),"")</f>
        <v>0</v>
      </c>
      <c r="G45" s="23" t="str">
        <f>IF(5&lt;=$D$2,SUMIFS(PEMBAYARAN!$E$4:$E$500,PEMBAYARAN!$A$4:$A$500,$B45,PEMBAYARAN!$B$4:$B$500,"April",PEMBAYARAN!$C$4:$C$500,"Minggu 5"),"")</f>
        <v/>
      </c>
      <c r="H45" s="23">
        <f t="shared" si="0"/>
        <v>20000</v>
      </c>
      <c r="I45" s="23">
        <f t="shared" si="1"/>
        <v>0</v>
      </c>
      <c r="J45" s="23">
        <f t="shared" si="2"/>
        <v>20000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-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820000</v>
      </c>
      <c r="I47" s="31">
        <f>SUM(I5:I45)</f>
        <v>0</v>
      </c>
      <c r="J47" s="31">
        <f>SUM(J5:J45)</f>
        <v>820000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C000000}"/>
  <mergeCells count="2">
    <mergeCell ref="A1:L1"/>
    <mergeCell ref="A2:C2"/>
  </mergeCells>
  <conditionalFormatting sqref="L5:L45">
    <cfRule type="expression" dxfId="11" priority="2">
      <formula>LEFT(L5,5)="LUNAS"</formula>
    </cfRule>
    <cfRule type="cellIs" dxfId="10" priority="3" operator="equal">
      <formula>"CICILAN"</formula>
    </cfRule>
    <cfRule type="cellIs" dxfId="9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4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IF(1&lt;=$D$2,SUMIFS(PEMBAYARAN!$E$4:$E$500,PEMBAYARAN!$A$4:$A$500,$B5,PEMBAYARAN!$B$4:$B$500,"Mei",PEMBAYARAN!$C$4:$C$500,"Minggu 1"),"")</f>
        <v>0</v>
      </c>
      <c r="D5" s="23">
        <f>IF(2&lt;=$D$2,SUMIFS(PEMBAYARAN!$E$4:$E$500,PEMBAYARAN!$A$4:$A$500,$B5,PEMBAYARAN!$B$4:$B$500,"Mei",PEMBAYARAN!$C$4:$C$500,"Minggu 2"),"")</f>
        <v>0</v>
      </c>
      <c r="E5" s="23">
        <f>IF(3&lt;=$D$2,SUMIFS(PEMBAYARAN!$E$4:$E$500,PEMBAYARAN!$A$4:$A$500,$B5,PEMBAYARAN!$B$4:$B$500,"Mei",PEMBAYARAN!$C$4:$C$500,"Minggu 3"),"")</f>
        <v>0</v>
      </c>
      <c r="F5" s="23">
        <f>IF(4&lt;=$D$2,SUMIFS(PEMBAYARAN!$E$4:$E$500,PEMBAYARAN!$A$4:$A$500,$B5,PEMBAYARAN!$B$4:$B$500,"Mei",PEMBAYARAN!$C$4:$C$500,"Minggu 4"),"")</f>
        <v>0</v>
      </c>
      <c r="G5" s="23" t="str">
        <f>IF(5&lt;=$D$2,SUMIFS(PEMBAYARAN!$E$4:$E$500,PEMBAYARAN!$A$4:$A$500,$B5,PEMBAYARAN!$B$4:$B$500,"Mei",PEMBAYARAN!$C$4:$C$500,"Minggu 5"),"")</f>
        <v/>
      </c>
      <c r="H5" s="23">
        <f t="shared" ref="H5:H45" si="0">MIN($D$2,5)*$F$2</f>
        <v>20000</v>
      </c>
      <c r="I5" s="23">
        <f t="shared" ref="I5:I45" si="1">SUM(C5:G5)</f>
        <v>0</v>
      </c>
      <c r="J5" s="23">
        <f t="shared" ref="J5:J45" si="2">MAX(H5-I5,0)</f>
        <v>20000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-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IF(1&lt;=$D$2,SUMIFS(PEMBAYARAN!$E$4:$E$500,PEMBAYARAN!$A$4:$A$500,$B6,PEMBAYARAN!$B$4:$B$500,"Mei",PEMBAYARAN!$C$4:$C$500,"Minggu 1"),"")</f>
        <v>0</v>
      </c>
      <c r="D6" s="23">
        <f>IF(2&lt;=$D$2,SUMIFS(PEMBAYARAN!$E$4:$E$500,PEMBAYARAN!$A$4:$A$500,$B6,PEMBAYARAN!$B$4:$B$500,"Mei",PEMBAYARAN!$C$4:$C$500,"Minggu 2"),"")</f>
        <v>0</v>
      </c>
      <c r="E6" s="23">
        <f>IF(3&lt;=$D$2,SUMIFS(PEMBAYARAN!$E$4:$E$500,PEMBAYARAN!$A$4:$A$500,$B6,PEMBAYARAN!$B$4:$B$500,"Mei",PEMBAYARAN!$C$4:$C$500,"Minggu 3"),"")</f>
        <v>0</v>
      </c>
      <c r="F6" s="23">
        <f>IF(4&lt;=$D$2,SUMIFS(PEMBAYARAN!$E$4:$E$500,PEMBAYARAN!$A$4:$A$500,$B6,PEMBAYARAN!$B$4:$B$500,"Mei",PEMBAYARAN!$C$4:$C$500,"Minggu 4"),"")</f>
        <v>0</v>
      </c>
      <c r="G6" s="23" t="str">
        <f>IF(5&lt;=$D$2,SUMIFS(PEMBAYARAN!$E$4:$E$500,PEMBAYARAN!$A$4:$A$500,$B6,PEMBAYARAN!$B$4:$B$500,"Mei",PEMBAYARAN!$C$4:$C$500,"Minggu 5"),"")</f>
        <v/>
      </c>
      <c r="H6" s="23">
        <f t="shared" si="0"/>
        <v>20000</v>
      </c>
      <c r="I6" s="23">
        <f t="shared" si="1"/>
        <v>0</v>
      </c>
      <c r="J6" s="23">
        <f t="shared" si="2"/>
        <v>20000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-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IF(1&lt;=$D$2,SUMIFS(PEMBAYARAN!$E$4:$E$500,PEMBAYARAN!$A$4:$A$500,$B7,PEMBAYARAN!$B$4:$B$500,"Mei",PEMBAYARAN!$C$4:$C$500,"Minggu 1"),"")</f>
        <v>0</v>
      </c>
      <c r="D7" s="23">
        <f>IF(2&lt;=$D$2,SUMIFS(PEMBAYARAN!$E$4:$E$500,PEMBAYARAN!$A$4:$A$500,$B7,PEMBAYARAN!$B$4:$B$500,"Mei",PEMBAYARAN!$C$4:$C$500,"Minggu 2"),"")</f>
        <v>0</v>
      </c>
      <c r="E7" s="23">
        <f>IF(3&lt;=$D$2,SUMIFS(PEMBAYARAN!$E$4:$E$500,PEMBAYARAN!$A$4:$A$500,$B7,PEMBAYARAN!$B$4:$B$500,"Mei",PEMBAYARAN!$C$4:$C$500,"Minggu 3"),"")</f>
        <v>0</v>
      </c>
      <c r="F7" s="23">
        <f>IF(4&lt;=$D$2,SUMIFS(PEMBAYARAN!$E$4:$E$500,PEMBAYARAN!$A$4:$A$500,$B7,PEMBAYARAN!$B$4:$B$500,"Mei",PEMBAYARAN!$C$4:$C$500,"Minggu 4"),"")</f>
        <v>0</v>
      </c>
      <c r="G7" s="23" t="str">
        <f>IF(5&lt;=$D$2,SUMIFS(PEMBAYARAN!$E$4:$E$500,PEMBAYARAN!$A$4:$A$500,$B7,PEMBAYARAN!$B$4:$B$500,"Mei",PEMBAYARAN!$C$4:$C$500,"Minggu 5"),"")</f>
        <v/>
      </c>
      <c r="H7" s="23">
        <f t="shared" si="0"/>
        <v>20000</v>
      </c>
      <c r="I7" s="23">
        <f t="shared" si="1"/>
        <v>0</v>
      </c>
      <c r="J7" s="23">
        <f t="shared" si="2"/>
        <v>20000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-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IF(1&lt;=$D$2,SUMIFS(PEMBAYARAN!$E$4:$E$500,PEMBAYARAN!$A$4:$A$500,$B8,PEMBAYARAN!$B$4:$B$500,"Mei",PEMBAYARAN!$C$4:$C$500,"Minggu 1"),"")</f>
        <v>0</v>
      </c>
      <c r="D8" s="23">
        <f>IF(2&lt;=$D$2,SUMIFS(PEMBAYARAN!$E$4:$E$500,PEMBAYARAN!$A$4:$A$500,$B8,PEMBAYARAN!$B$4:$B$500,"Mei",PEMBAYARAN!$C$4:$C$500,"Minggu 2"),"")</f>
        <v>0</v>
      </c>
      <c r="E8" s="23">
        <f>IF(3&lt;=$D$2,SUMIFS(PEMBAYARAN!$E$4:$E$500,PEMBAYARAN!$A$4:$A$500,$B8,PEMBAYARAN!$B$4:$B$500,"Mei",PEMBAYARAN!$C$4:$C$500,"Minggu 3"),"")</f>
        <v>0</v>
      </c>
      <c r="F8" s="23">
        <f>IF(4&lt;=$D$2,SUMIFS(PEMBAYARAN!$E$4:$E$500,PEMBAYARAN!$A$4:$A$500,$B8,PEMBAYARAN!$B$4:$B$500,"Mei",PEMBAYARAN!$C$4:$C$500,"Minggu 4"),"")</f>
        <v>0</v>
      </c>
      <c r="G8" s="23" t="str">
        <f>IF(5&lt;=$D$2,SUMIFS(PEMBAYARAN!$E$4:$E$500,PEMBAYARAN!$A$4:$A$500,$B8,PEMBAYARAN!$B$4:$B$500,"Mei",PEMBAYARAN!$C$4:$C$500,"Minggu 5"),"")</f>
        <v/>
      </c>
      <c r="H8" s="23">
        <f t="shared" si="0"/>
        <v>20000</v>
      </c>
      <c r="I8" s="23">
        <f t="shared" si="1"/>
        <v>0</v>
      </c>
      <c r="J8" s="23">
        <f t="shared" si="2"/>
        <v>20000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-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IF(1&lt;=$D$2,SUMIFS(PEMBAYARAN!$E$4:$E$500,PEMBAYARAN!$A$4:$A$500,$B9,PEMBAYARAN!$B$4:$B$500,"Mei",PEMBAYARAN!$C$4:$C$500,"Minggu 1"),"")</f>
        <v>0</v>
      </c>
      <c r="D9" s="23">
        <f>IF(2&lt;=$D$2,SUMIFS(PEMBAYARAN!$E$4:$E$500,PEMBAYARAN!$A$4:$A$500,$B9,PEMBAYARAN!$B$4:$B$500,"Mei",PEMBAYARAN!$C$4:$C$500,"Minggu 2"),"")</f>
        <v>0</v>
      </c>
      <c r="E9" s="23">
        <f>IF(3&lt;=$D$2,SUMIFS(PEMBAYARAN!$E$4:$E$500,PEMBAYARAN!$A$4:$A$500,$B9,PEMBAYARAN!$B$4:$B$500,"Mei",PEMBAYARAN!$C$4:$C$500,"Minggu 3"),"")</f>
        <v>0</v>
      </c>
      <c r="F9" s="23">
        <f>IF(4&lt;=$D$2,SUMIFS(PEMBAYARAN!$E$4:$E$500,PEMBAYARAN!$A$4:$A$500,$B9,PEMBAYARAN!$B$4:$B$500,"Mei",PEMBAYARAN!$C$4:$C$500,"Minggu 4"),"")</f>
        <v>0</v>
      </c>
      <c r="G9" s="23" t="str">
        <f>IF(5&lt;=$D$2,SUMIFS(PEMBAYARAN!$E$4:$E$500,PEMBAYARAN!$A$4:$A$500,$B9,PEMBAYARAN!$B$4:$B$500,"Mei",PEMBAYARAN!$C$4:$C$500,"Minggu 5"),"")</f>
        <v/>
      </c>
      <c r="H9" s="23">
        <f t="shared" si="0"/>
        <v>20000</v>
      </c>
      <c r="I9" s="23">
        <f t="shared" si="1"/>
        <v>0</v>
      </c>
      <c r="J9" s="23">
        <f t="shared" si="2"/>
        <v>20000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-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IF(1&lt;=$D$2,SUMIFS(PEMBAYARAN!$E$4:$E$500,PEMBAYARAN!$A$4:$A$500,$B10,PEMBAYARAN!$B$4:$B$500,"Mei",PEMBAYARAN!$C$4:$C$500,"Minggu 1"),"")</f>
        <v>0</v>
      </c>
      <c r="D10" s="23">
        <f>IF(2&lt;=$D$2,SUMIFS(PEMBAYARAN!$E$4:$E$500,PEMBAYARAN!$A$4:$A$500,$B10,PEMBAYARAN!$B$4:$B$500,"Mei",PEMBAYARAN!$C$4:$C$500,"Minggu 2"),"")</f>
        <v>0</v>
      </c>
      <c r="E10" s="23">
        <f>IF(3&lt;=$D$2,SUMIFS(PEMBAYARAN!$E$4:$E$500,PEMBAYARAN!$A$4:$A$500,$B10,PEMBAYARAN!$B$4:$B$500,"Mei",PEMBAYARAN!$C$4:$C$500,"Minggu 3"),"")</f>
        <v>0</v>
      </c>
      <c r="F10" s="23">
        <f>IF(4&lt;=$D$2,SUMIFS(PEMBAYARAN!$E$4:$E$500,PEMBAYARAN!$A$4:$A$500,$B10,PEMBAYARAN!$B$4:$B$500,"Mei",PEMBAYARAN!$C$4:$C$500,"Minggu 4"),"")</f>
        <v>0</v>
      </c>
      <c r="G10" s="23" t="str">
        <f>IF(5&lt;=$D$2,SUMIFS(PEMBAYARAN!$E$4:$E$500,PEMBAYARAN!$A$4:$A$500,$B10,PEMBAYARAN!$B$4:$B$500,"Mei",PEMBAYARAN!$C$4:$C$500,"Minggu 5"),"")</f>
        <v/>
      </c>
      <c r="H10" s="23">
        <f t="shared" si="0"/>
        <v>20000</v>
      </c>
      <c r="I10" s="23">
        <f t="shared" si="1"/>
        <v>0</v>
      </c>
      <c r="J10" s="23">
        <f t="shared" si="2"/>
        <v>20000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-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IF(1&lt;=$D$2,SUMIFS(PEMBAYARAN!$E$4:$E$500,PEMBAYARAN!$A$4:$A$500,$B11,PEMBAYARAN!$B$4:$B$500,"Mei",PEMBAYARAN!$C$4:$C$500,"Minggu 1"),"")</f>
        <v>0</v>
      </c>
      <c r="D11" s="23">
        <f>IF(2&lt;=$D$2,SUMIFS(PEMBAYARAN!$E$4:$E$500,PEMBAYARAN!$A$4:$A$500,$B11,PEMBAYARAN!$B$4:$B$500,"Mei",PEMBAYARAN!$C$4:$C$500,"Minggu 2"),"")</f>
        <v>0</v>
      </c>
      <c r="E11" s="23">
        <f>IF(3&lt;=$D$2,SUMIFS(PEMBAYARAN!$E$4:$E$500,PEMBAYARAN!$A$4:$A$500,$B11,PEMBAYARAN!$B$4:$B$500,"Mei",PEMBAYARAN!$C$4:$C$500,"Minggu 3"),"")</f>
        <v>0</v>
      </c>
      <c r="F11" s="23">
        <f>IF(4&lt;=$D$2,SUMIFS(PEMBAYARAN!$E$4:$E$500,PEMBAYARAN!$A$4:$A$500,$B11,PEMBAYARAN!$B$4:$B$500,"Mei",PEMBAYARAN!$C$4:$C$500,"Minggu 4"),"")</f>
        <v>0</v>
      </c>
      <c r="G11" s="23" t="str">
        <f>IF(5&lt;=$D$2,SUMIFS(PEMBAYARAN!$E$4:$E$500,PEMBAYARAN!$A$4:$A$500,$B11,PEMBAYARAN!$B$4:$B$500,"Mei",PEMBAYARAN!$C$4:$C$500,"Minggu 5"),"")</f>
        <v/>
      </c>
      <c r="H11" s="23">
        <f t="shared" si="0"/>
        <v>20000</v>
      </c>
      <c r="I11" s="23">
        <f t="shared" si="1"/>
        <v>0</v>
      </c>
      <c r="J11" s="23">
        <f t="shared" si="2"/>
        <v>20000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-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IF(1&lt;=$D$2,SUMIFS(PEMBAYARAN!$E$4:$E$500,PEMBAYARAN!$A$4:$A$500,$B12,PEMBAYARAN!$B$4:$B$500,"Mei",PEMBAYARAN!$C$4:$C$500,"Minggu 1"),"")</f>
        <v>0</v>
      </c>
      <c r="D12" s="23">
        <f>IF(2&lt;=$D$2,SUMIFS(PEMBAYARAN!$E$4:$E$500,PEMBAYARAN!$A$4:$A$500,$B12,PEMBAYARAN!$B$4:$B$500,"Mei",PEMBAYARAN!$C$4:$C$500,"Minggu 2"),"")</f>
        <v>0</v>
      </c>
      <c r="E12" s="23">
        <f>IF(3&lt;=$D$2,SUMIFS(PEMBAYARAN!$E$4:$E$500,PEMBAYARAN!$A$4:$A$500,$B12,PEMBAYARAN!$B$4:$B$500,"Mei",PEMBAYARAN!$C$4:$C$500,"Minggu 3"),"")</f>
        <v>0</v>
      </c>
      <c r="F12" s="23">
        <f>IF(4&lt;=$D$2,SUMIFS(PEMBAYARAN!$E$4:$E$500,PEMBAYARAN!$A$4:$A$500,$B12,PEMBAYARAN!$B$4:$B$500,"Mei",PEMBAYARAN!$C$4:$C$500,"Minggu 4"),"")</f>
        <v>0</v>
      </c>
      <c r="G12" s="23" t="str">
        <f>IF(5&lt;=$D$2,SUMIFS(PEMBAYARAN!$E$4:$E$500,PEMBAYARAN!$A$4:$A$500,$B12,PEMBAYARAN!$B$4:$B$500,"Mei",PEMBAYARAN!$C$4:$C$500,"Minggu 5"),"")</f>
        <v/>
      </c>
      <c r="H12" s="23">
        <f t="shared" si="0"/>
        <v>20000</v>
      </c>
      <c r="I12" s="23">
        <f t="shared" si="1"/>
        <v>0</v>
      </c>
      <c r="J12" s="23">
        <f t="shared" si="2"/>
        <v>20000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-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IF(1&lt;=$D$2,SUMIFS(PEMBAYARAN!$E$4:$E$500,PEMBAYARAN!$A$4:$A$500,$B13,PEMBAYARAN!$B$4:$B$500,"Mei",PEMBAYARAN!$C$4:$C$500,"Minggu 1"),"")</f>
        <v>0</v>
      </c>
      <c r="D13" s="23">
        <f>IF(2&lt;=$D$2,SUMIFS(PEMBAYARAN!$E$4:$E$500,PEMBAYARAN!$A$4:$A$500,$B13,PEMBAYARAN!$B$4:$B$500,"Mei",PEMBAYARAN!$C$4:$C$500,"Minggu 2"),"")</f>
        <v>0</v>
      </c>
      <c r="E13" s="23">
        <f>IF(3&lt;=$D$2,SUMIFS(PEMBAYARAN!$E$4:$E$500,PEMBAYARAN!$A$4:$A$500,$B13,PEMBAYARAN!$B$4:$B$500,"Mei",PEMBAYARAN!$C$4:$C$500,"Minggu 3"),"")</f>
        <v>0</v>
      </c>
      <c r="F13" s="23">
        <f>IF(4&lt;=$D$2,SUMIFS(PEMBAYARAN!$E$4:$E$500,PEMBAYARAN!$A$4:$A$500,$B13,PEMBAYARAN!$B$4:$B$500,"Mei",PEMBAYARAN!$C$4:$C$500,"Minggu 4"),"")</f>
        <v>0</v>
      </c>
      <c r="G13" s="23" t="str">
        <f>IF(5&lt;=$D$2,SUMIFS(PEMBAYARAN!$E$4:$E$500,PEMBAYARAN!$A$4:$A$500,$B13,PEMBAYARAN!$B$4:$B$500,"Mei",PEMBAYARAN!$C$4:$C$500,"Minggu 5"),"")</f>
        <v/>
      </c>
      <c r="H13" s="23">
        <f t="shared" si="0"/>
        <v>20000</v>
      </c>
      <c r="I13" s="23">
        <f t="shared" si="1"/>
        <v>0</v>
      </c>
      <c r="J13" s="23">
        <f t="shared" si="2"/>
        <v>20000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-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IF(1&lt;=$D$2,SUMIFS(PEMBAYARAN!$E$4:$E$500,PEMBAYARAN!$A$4:$A$500,$B14,PEMBAYARAN!$B$4:$B$500,"Mei",PEMBAYARAN!$C$4:$C$500,"Minggu 1"),"")</f>
        <v>0</v>
      </c>
      <c r="D14" s="23">
        <f>IF(2&lt;=$D$2,SUMIFS(PEMBAYARAN!$E$4:$E$500,PEMBAYARAN!$A$4:$A$500,$B14,PEMBAYARAN!$B$4:$B$500,"Mei",PEMBAYARAN!$C$4:$C$500,"Minggu 2"),"")</f>
        <v>0</v>
      </c>
      <c r="E14" s="23">
        <f>IF(3&lt;=$D$2,SUMIFS(PEMBAYARAN!$E$4:$E$500,PEMBAYARAN!$A$4:$A$500,$B14,PEMBAYARAN!$B$4:$B$500,"Mei",PEMBAYARAN!$C$4:$C$500,"Minggu 3"),"")</f>
        <v>0</v>
      </c>
      <c r="F14" s="23">
        <f>IF(4&lt;=$D$2,SUMIFS(PEMBAYARAN!$E$4:$E$500,PEMBAYARAN!$A$4:$A$500,$B14,PEMBAYARAN!$B$4:$B$500,"Mei",PEMBAYARAN!$C$4:$C$500,"Minggu 4"),"")</f>
        <v>0</v>
      </c>
      <c r="G14" s="23" t="str">
        <f>IF(5&lt;=$D$2,SUMIFS(PEMBAYARAN!$E$4:$E$500,PEMBAYARAN!$A$4:$A$500,$B14,PEMBAYARAN!$B$4:$B$500,"Mei",PEMBAYARAN!$C$4:$C$500,"Minggu 5"),"")</f>
        <v/>
      </c>
      <c r="H14" s="23">
        <f t="shared" si="0"/>
        <v>20000</v>
      </c>
      <c r="I14" s="23">
        <f t="shared" si="1"/>
        <v>0</v>
      </c>
      <c r="J14" s="23">
        <f t="shared" si="2"/>
        <v>20000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-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IF(1&lt;=$D$2,SUMIFS(PEMBAYARAN!$E$4:$E$500,PEMBAYARAN!$A$4:$A$500,$B15,PEMBAYARAN!$B$4:$B$500,"Mei",PEMBAYARAN!$C$4:$C$500,"Minggu 1"),"")</f>
        <v>0</v>
      </c>
      <c r="D15" s="23">
        <f>IF(2&lt;=$D$2,SUMIFS(PEMBAYARAN!$E$4:$E$500,PEMBAYARAN!$A$4:$A$500,$B15,PEMBAYARAN!$B$4:$B$500,"Mei",PEMBAYARAN!$C$4:$C$500,"Minggu 2"),"")</f>
        <v>0</v>
      </c>
      <c r="E15" s="23">
        <f>IF(3&lt;=$D$2,SUMIFS(PEMBAYARAN!$E$4:$E$500,PEMBAYARAN!$A$4:$A$500,$B15,PEMBAYARAN!$B$4:$B$500,"Mei",PEMBAYARAN!$C$4:$C$500,"Minggu 3"),"")</f>
        <v>0</v>
      </c>
      <c r="F15" s="23">
        <f>IF(4&lt;=$D$2,SUMIFS(PEMBAYARAN!$E$4:$E$500,PEMBAYARAN!$A$4:$A$500,$B15,PEMBAYARAN!$B$4:$B$500,"Mei",PEMBAYARAN!$C$4:$C$500,"Minggu 4"),"")</f>
        <v>0</v>
      </c>
      <c r="G15" s="23" t="str">
        <f>IF(5&lt;=$D$2,SUMIFS(PEMBAYARAN!$E$4:$E$500,PEMBAYARAN!$A$4:$A$500,$B15,PEMBAYARAN!$B$4:$B$500,"Mei",PEMBAYARAN!$C$4:$C$500,"Minggu 5"),"")</f>
        <v/>
      </c>
      <c r="H15" s="23">
        <f t="shared" si="0"/>
        <v>20000</v>
      </c>
      <c r="I15" s="23">
        <f t="shared" si="1"/>
        <v>0</v>
      </c>
      <c r="J15" s="23">
        <f t="shared" si="2"/>
        <v>20000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-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IF(1&lt;=$D$2,SUMIFS(PEMBAYARAN!$E$4:$E$500,PEMBAYARAN!$A$4:$A$500,$B16,PEMBAYARAN!$B$4:$B$500,"Mei",PEMBAYARAN!$C$4:$C$500,"Minggu 1"),"")</f>
        <v>0</v>
      </c>
      <c r="D16" s="23">
        <f>IF(2&lt;=$D$2,SUMIFS(PEMBAYARAN!$E$4:$E$500,PEMBAYARAN!$A$4:$A$500,$B16,PEMBAYARAN!$B$4:$B$500,"Mei",PEMBAYARAN!$C$4:$C$500,"Minggu 2"),"")</f>
        <v>0</v>
      </c>
      <c r="E16" s="23">
        <f>IF(3&lt;=$D$2,SUMIFS(PEMBAYARAN!$E$4:$E$500,PEMBAYARAN!$A$4:$A$500,$B16,PEMBAYARAN!$B$4:$B$500,"Mei",PEMBAYARAN!$C$4:$C$500,"Minggu 3"),"")</f>
        <v>0</v>
      </c>
      <c r="F16" s="23">
        <f>IF(4&lt;=$D$2,SUMIFS(PEMBAYARAN!$E$4:$E$500,PEMBAYARAN!$A$4:$A$500,$B16,PEMBAYARAN!$B$4:$B$500,"Mei",PEMBAYARAN!$C$4:$C$500,"Minggu 4"),"")</f>
        <v>0</v>
      </c>
      <c r="G16" s="23" t="str">
        <f>IF(5&lt;=$D$2,SUMIFS(PEMBAYARAN!$E$4:$E$500,PEMBAYARAN!$A$4:$A$500,$B16,PEMBAYARAN!$B$4:$B$500,"Mei",PEMBAYARAN!$C$4:$C$500,"Minggu 5"),"")</f>
        <v/>
      </c>
      <c r="H16" s="23">
        <f t="shared" si="0"/>
        <v>20000</v>
      </c>
      <c r="I16" s="23">
        <f t="shared" si="1"/>
        <v>0</v>
      </c>
      <c r="J16" s="23">
        <f t="shared" si="2"/>
        <v>20000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-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IF(1&lt;=$D$2,SUMIFS(PEMBAYARAN!$E$4:$E$500,PEMBAYARAN!$A$4:$A$500,$B17,PEMBAYARAN!$B$4:$B$500,"Mei",PEMBAYARAN!$C$4:$C$500,"Minggu 1"),"")</f>
        <v>0</v>
      </c>
      <c r="D17" s="23">
        <f>IF(2&lt;=$D$2,SUMIFS(PEMBAYARAN!$E$4:$E$500,PEMBAYARAN!$A$4:$A$500,$B17,PEMBAYARAN!$B$4:$B$500,"Mei",PEMBAYARAN!$C$4:$C$500,"Minggu 2"),"")</f>
        <v>0</v>
      </c>
      <c r="E17" s="23">
        <f>IF(3&lt;=$D$2,SUMIFS(PEMBAYARAN!$E$4:$E$500,PEMBAYARAN!$A$4:$A$500,$B17,PEMBAYARAN!$B$4:$B$500,"Mei",PEMBAYARAN!$C$4:$C$500,"Minggu 3"),"")</f>
        <v>0</v>
      </c>
      <c r="F17" s="23">
        <f>IF(4&lt;=$D$2,SUMIFS(PEMBAYARAN!$E$4:$E$500,PEMBAYARAN!$A$4:$A$500,$B17,PEMBAYARAN!$B$4:$B$500,"Mei",PEMBAYARAN!$C$4:$C$500,"Minggu 4"),"")</f>
        <v>0</v>
      </c>
      <c r="G17" s="23" t="str">
        <f>IF(5&lt;=$D$2,SUMIFS(PEMBAYARAN!$E$4:$E$500,PEMBAYARAN!$A$4:$A$500,$B17,PEMBAYARAN!$B$4:$B$500,"Mei",PEMBAYARAN!$C$4:$C$500,"Minggu 5"),"")</f>
        <v/>
      </c>
      <c r="H17" s="23">
        <f t="shared" si="0"/>
        <v>20000</v>
      </c>
      <c r="I17" s="23">
        <f t="shared" si="1"/>
        <v>0</v>
      </c>
      <c r="J17" s="23">
        <f t="shared" si="2"/>
        <v>20000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-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IF(1&lt;=$D$2,SUMIFS(PEMBAYARAN!$E$4:$E$500,PEMBAYARAN!$A$4:$A$500,$B18,PEMBAYARAN!$B$4:$B$500,"Mei",PEMBAYARAN!$C$4:$C$500,"Minggu 1"),"")</f>
        <v>0</v>
      </c>
      <c r="D18" s="23">
        <f>IF(2&lt;=$D$2,SUMIFS(PEMBAYARAN!$E$4:$E$500,PEMBAYARAN!$A$4:$A$500,$B18,PEMBAYARAN!$B$4:$B$500,"Mei",PEMBAYARAN!$C$4:$C$500,"Minggu 2"),"")</f>
        <v>0</v>
      </c>
      <c r="E18" s="23">
        <f>IF(3&lt;=$D$2,SUMIFS(PEMBAYARAN!$E$4:$E$500,PEMBAYARAN!$A$4:$A$500,$B18,PEMBAYARAN!$B$4:$B$500,"Mei",PEMBAYARAN!$C$4:$C$500,"Minggu 3"),"")</f>
        <v>0</v>
      </c>
      <c r="F18" s="23">
        <f>IF(4&lt;=$D$2,SUMIFS(PEMBAYARAN!$E$4:$E$500,PEMBAYARAN!$A$4:$A$500,$B18,PEMBAYARAN!$B$4:$B$500,"Mei",PEMBAYARAN!$C$4:$C$500,"Minggu 4"),"")</f>
        <v>0</v>
      </c>
      <c r="G18" s="23" t="str">
        <f>IF(5&lt;=$D$2,SUMIFS(PEMBAYARAN!$E$4:$E$500,PEMBAYARAN!$A$4:$A$500,$B18,PEMBAYARAN!$B$4:$B$500,"Mei",PEMBAYARAN!$C$4:$C$500,"Minggu 5"),"")</f>
        <v/>
      </c>
      <c r="H18" s="23">
        <f t="shared" si="0"/>
        <v>20000</v>
      </c>
      <c r="I18" s="23">
        <f t="shared" si="1"/>
        <v>0</v>
      </c>
      <c r="J18" s="23">
        <f t="shared" si="2"/>
        <v>20000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-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IF(1&lt;=$D$2,SUMIFS(PEMBAYARAN!$E$4:$E$500,PEMBAYARAN!$A$4:$A$500,$B19,PEMBAYARAN!$B$4:$B$500,"Mei",PEMBAYARAN!$C$4:$C$500,"Minggu 1"),"")</f>
        <v>0</v>
      </c>
      <c r="D19" s="23">
        <f>IF(2&lt;=$D$2,SUMIFS(PEMBAYARAN!$E$4:$E$500,PEMBAYARAN!$A$4:$A$500,$B19,PEMBAYARAN!$B$4:$B$500,"Mei",PEMBAYARAN!$C$4:$C$500,"Minggu 2"),"")</f>
        <v>0</v>
      </c>
      <c r="E19" s="23">
        <f>IF(3&lt;=$D$2,SUMIFS(PEMBAYARAN!$E$4:$E$500,PEMBAYARAN!$A$4:$A$500,$B19,PEMBAYARAN!$B$4:$B$500,"Mei",PEMBAYARAN!$C$4:$C$500,"Minggu 3"),"")</f>
        <v>0</v>
      </c>
      <c r="F19" s="23">
        <f>IF(4&lt;=$D$2,SUMIFS(PEMBAYARAN!$E$4:$E$500,PEMBAYARAN!$A$4:$A$500,$B19,PEMBAYARAN!$B$4:$B$500,"Mei",PEMBAYARAN!$C$4:$C$500,"Minggu 4"),"")</f>
        <v>0</v>
      </c>
      <c r="G19" s="23" t="str">
        <f>IF(5&lt;=$D$2,SUMIFS(PEMBAYARAN!$E$4:$E$500,PEMBAYARAN!$A$4:$A$500,$B19,PEMBAYARAN!$B$4:$B$500,"Mei",PEMBAYARAN!$C$4:$C$500,"Minggu 5"),"")</f>
        <v/>
      </c>
      <c r="H19" s="23">
        <f t="shared" si="0"/>
        <v>20000</v>
      </c>
      <c r="I19" s="23">
        <f t="shared" si="1"/>
        <v>0</v>
      </c>
      <c r="J19" s="23">
        <f t="shared" si="2"/>
        <v>20000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-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IF(1&lt;=$D$2,SUMIFS(PEMBAYARAN!$E$4:$E$500,PEMBAYARAN!$A$4:$A$500,$B20,PEMBAYARAN!$B$4:$B$500,"Mei",PEMBAYARAN!$C$4:$C$500,"Minggu 1"),"")</f>
        <v>0</v>
      </c>
      <c r="D20" s="23">
        <f>IF(2&lt;=$D$2,SUMIFS(PEMBAYARAN!$E$4:$E$500,PEMBAYARAN!$A$4:$A$500,$B20,PEMBAYARAN!$B$4:$B$500,"Mei",PEMBAYARAN!$C$4:$C$500,"Minggu 2"),"")</f>
        <v>0</v>
      </c>
      <c r="E20" s="23">
        <f>IF(3&lt;=$D$2,SUMIFS(PEMBAYARAN!$E$4:$E$500,PEMBAYARAN!$A$4:$A$500,$B20,PEMBAYARAN!$B$4:$B$500,"Mei",PEMBAYARAN!$C$4:$C$500,"Minggu 3"),"")</f>
        <v>0</v>
      </c>
      <c r="F20" s="23">
        <f>IF(4&lt;=$D$2,SUMIFS(PEMBAYARAN!$E$4:$E$500,PEMBAYARAN!$A$4:$A$500,$B20,PEMBAYARAN!$B$4:$B$500,"Mei",PEMBAYARAN!$C$4:$C$500,"Minggu 4"),"")</f>
        <v>0</v>
      </c>
      <c r="G20" s="23" t="str">
        <f>IF(5&lt;=$D$2,SUMIFS(PEMBAYARAN!$E$4:$E$500,PEMBAYARAN!$A$4:$A$500,$B20,PEMBAYARAN!$B$4:$B$500,"Mei",PEMBAYARAN!$C$4:$C$500,"Minggu 5"),"")</f>
        <v/>
      </c>
      <c r="H20" s="23">
        <f t="shared" si="0"/>
        <v>20000</v>
      </c>
      <c r="I20" s="23">
        <f t="shared" si="1"/>
        <v>0</v>
      </c>
      <c r="J20" s="23">
        <f t="shared" si="2"/>
        <v>20000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-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IF(1&lt;=$D$2,SUMIFS(PEMBAYARAN!$E$4:$E$500,PEMBAYARAN!$A$4:$A$500,$B21,PEMBAYARAN!$B$4:$B$500,"Mei",PEMBAYARAN!$C$4:$C$500,"Minggu 1"),"")</f>
        <v>0</v>
      </c>
      <c r="D21" s="23">
        <f>IF(2&lt;=$D$2,SUMIFS(PEMBAYARAN!$E$4:$E$500,PEMBAYARAN!$A$4:$A$500,$B21,PEMBAYARAN!$B$4:$B$500,"Mei",PEMBAYARAN!$C$4:$C$500,"Minggu 2"),"")</f>
        <v>0</v>
      </c>
      <c r="E21" s="23">
        <f>IF(3&lt;=$D$2,SUMIFS(PEMBAYARAN!$E$4:$E$500,PEMBAYARAN!$A$4:$A$500,$B21,PEMBAYARAN!$B$4:$B$500,"Mei",PEMBAYARAN!$C$4:$C$500,"Minggu 3"),"")</f>
        <v>0</v>
      </c>
      <c r="F21" s="23">
        <f>IF(4&lt;=$D$2,SUMIFS(PEMBAYARAN!$E$4:$E$500,PEMBAYARAN!$A$4:$A$500,$B21,PEMBAYARAN!$B$4:$B$500,"Mei",PEMBAYARAN!$C$4:$C$500,"Minggu 4"),"")</f>
        <v>0</v>
      </c>
      <c r="G21" s="23" t="str">
        <f>IF(5&lt;=$D$2,SUMIFS(PEMBAYARAN!$E$4:$E$500,PEMBAYARAN!$A$4:$A$500,$B21,PEMBAYARAN!$B$4:$B$500,"Mei",PEMBAYARAN!$C$4:$C$500,"Minggu 5"),"")</f>
        <v/>
      </c>
      <c r="H21" s="23">
        <f t="shared" si="0"/>
        <v>20000</v>
      </c>
      <c r="I21" s="23">
        <f t="shared" si="1"/>
        <v>0</v>
      </c>
      <c r="J21" s="23">
        <f t="shared" si="2"/>
        <v>20000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-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IF(1&lt;=$D$2,SUMIFS(PEMBAYARAN!$E$4:$E$500,PEMBAYARAN!$A$4:$A$500,$B22,PEMBAYARAN!$B$4:$B$500,"Mei",PEMBAYARAN!$C$4:$C$500,"Minggu 1"),"")</f>
        <v>0</v>
      </c>
      <c r="D22" s="23">
        <f>IF(2&lt;=$D$2,SUMIFS(PEMBAYARAN!$E$4:$E$500,PEMBAYARAN!$A$4:$A$500,$B22,PEMBAYARAN!$B$4:$B$500,"Mei",PEMBAYARAN!$C$4:$C$500,"Minggu 2"),"")</f>
        <v>0</v>
      </c>
      <c r="E22" s="23">
        <f>IF(3&lt;=$D$2,SUMIFS(PEMBAYARAN!$E$4:$E$500,PEMBAYARAN!$A$4:$A$500,$B22,PEMBAYARAN!$B$4:$B$500,"Mei",PEMBAYARAN!$C$4:$C$500,"Minggu 3"),"")</f>
        <v>0</v>
      </c>
      <c r="F22" s="23">
        <f>IF(4&lt;=$D$2,SUMIFS(PEMBAYARAN!$E$4:$E$500,PEMBAYARAN!$A$4:$A$500,$B22,PEMBAYARAN!$B$4:$B$500,"Mei",PEMBAYARAN!$C$4:$C$500,"Minggu 4"),"")</f>
        <v>0</v>
      </c>
      <c r="G22" s="23" t="str">
        <f>IF(5&lt;=$D$2,SUMIFS(PEMBAYARAN!$E$4:$E$500,PEMBAYARAN!$A$4:$A$500,$B22,PEMBAYARAN!$B$4:$B$500,"Mei",PEMBAYARAN!$C$4:$C$500,"Minggu 5"),"")</f>
        <v/>
      </c>
      <c r="H22" s="23">
        <f t="shared" si="0"/>
        <v>20000</v>
      </c>
      <c r="I22" s="23">
        <f t="shared" si="1"/>
        <v>0</v>
      </c>
      <c r="J22" s="23">
        <f t="shared" si="2"/>
        <v>20000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-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IF(1&lt;=$D$2,SUMIFS(PEMBAYARAN!$E$4:$E$500,PEMBAYARAN!$A$4:$A$500,$B23,PEMBAYARAN!$B$4:$B$500,"Mei",PEMBAYARAN!$C$4:$C$500,"Minggu 1"),"")</f>
        <v>0</v>
      </c>
      <c r="D23" s="23">
        <f>IF(2&lt;=$D$2,SUMIFS(PEMBAYARAN!$E$4:$E$500,PEMBAYARAN!$A$4:$A$500,$B23,PEMBAYARAN!$B$4:$B$500,"Mei",PEMBAYARAN!$C$4:$C$500,"Minggu 2"),"")</f>
        <v>0</v>
      </c>
      <c r="E23" s="23">
        <f>IF(3&lt;=$D$2,SUMIFS(PEMBAYARAN!$E$4:$E$500,PEMBAYARAN!$A$4:$A$500,$B23,PEMBAYARAN!$B$4:$B$500,"Mei",PEMBAYARAN!$C$4:$C$500,"Minggu 3"),"")</f>
        <v>0</v>
      </c>
      <c r="F23" s="23">
        <f>IF(4&lt;=$D$2,SUMIFS(PEMBAYARAN!$E$4:$E$500,PEMBAYARAN!$A$4:$A$500,$B23,PEMBAYARAN!$B$4:$B$500,"Mei",PEMBAYARAN!$C$4:$C$500,"Minggu 4"),"")</f>
        <v>0</v>
      </c>
      <c r="G23" s="23" t="str">
        <f>IF(5&lt;=$D$2,SUMIFS(PEMBAYARAN!$E$4:$E$500,PEMBAYARAN!$A$4:$A$500,$B23,PEMBAYARAN!$B$4:$B$500,"Mei",PEMBAYARAN!$C$4:$C$500,"Minggu 5"),"")</f>
        <v/>
      </c>
      <c r="H23" s="23">
        <f t="shared" si="0"/>
        <v>20000</v>
      </c>
      <c r="I23" s="23">
        <f t="shared" si="1"/>
        <v>0</v>
      </c>
      <c r="J23" s="23">
        <f t="shared" si="2"/>
        <v>20000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-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IF(1&lt;=$D$2,SUMIFS(PEMBAYARAN!$E$4:$E$500,PEMBAYARAN!$A$4:$A$500,$B24,PEMBAYARAN!$B$4:$B$500,"Mei",PEMBAYARAN!$C$4:$C$500,"Minggu 1"),"")</f>
        <v>0</v>
      </c>
      <c r="D24" s="23">
        <f>IF(2&lt;=$D$2,SUMIFS(PEMBAYARAN!$E$4:$E$500,PEMBAYARAN!$A$4:$A$500,$B24,PEMBAYARAN!$B$4:$B$500,"Mei",PEMBAYARAN!$C$4:$C$500,"Minggu 2"),"")</f>
        <v>0</v>
      </c>
      <c r="E24" s="23">
        <f>IF(3&lt;=$D$2,SUMIFS(PEMBAYARAN!$E$4:$E$500,PEMBAYARAN!$A$4:$A$500,$B24,PEMBAYARAN!$B$4:$B$500,"Mei",PEMBAYARAN!$C$4:$C$500,"Minggu 3"),"")</f>
        <v>0</v>
      </c>
      <c r="F24" s="23">
        <f>IF(4&lt;=$D$2,SUMIFS(PEMBAYARAN!$E$4:$E$500,PEMBAYARAN!$A$4:$A$500,$B24,PEMBAYARAN!$B$4:$B$500,"Mei",PEMBAYARAN!$C$4:$C$500,"Minggu 4"),"")</f>
        <v>0</v>
      </c>
      <c r="G24" s="23" t="str">
        <f>IF(5&lt;=$D$2,SUMIFS(PEMBAYARAN!$E$4:$E$500,PEMBAYARAN!$A$4:$A$500,$B24,PEMBAYARAN!$B$4:$B$500,"Mei",PEMBAYARAN!$C$4:$C$500,"Minggu 5"),"")</f>
        <v/>
      </c>
      <c r="H24" s="23">
        <f t="shared" si="0"/>
        <v>20000</v>
      </c>
      <c r="I24" s="23">
        <f t="shared" si="1"/>
        <v>0</v>
      </c>
      <c r="J24" s="23">
        <f t="shared" si="2"/>
        <v>20000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-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IF(1&lt;=$D$2,SUMIFS(PEMBAYARAN!$E$4:$E$500,PEMBAYARAN!$A$4:$A$500,$B25,PEMBAYARAN!$B$4:$B$500,"Mei",PEMBAYARAN!$C$4:$C$500,"Minggu 1"),"")</f>
        <v>0</v>
      </c>
      <c r="D25" s="23">
        <f>IF(2&lt;=$D$2,SUMIFS(PEMBAYARAN!$E$4:$E$500,PEMBAYARAN!$A$4:$A$500,$B25,PEMBAYARAN!$B$4:$B$500,"Mei",PEMBAYARAN!$C$4:$C$500,"Minggu 2"),"")</f>
        <v>0</v>
      </c>
      <c r="E25" s="23">
        <f>IF(3&lt;=$D$2,SUMIFS(PEMBAYARAN!$E$4:$E$500,PEMBAYARAN!$A$4:$A$500,$B25,PEMBAYARAN!$B$4:$B$500,"Mei",PEMBAYARAN!$C$4:$C$500,"Minggu 3"),"")</f>
        <v>0</v>
      </c>
      <c r="F25" s="23">
        <f>IF(4&lt;=$D$2,SUMIFS(PEMBAYARAN!$E$4:$E$500,PEMBAYARAN!$A$4:$A$500,$B25,PEMBAYARAN!$B$4:$B$500,"Mei",PEMBAYARAN!$C$4:$C$500,"Minggu 4"),"")</f>
        <v>0</v>
      </c>
      <c r="G25" s="23" t="str">
        <f>IF(5&lt;=$D$2,SUMIFS(PEMBAYARAN!$E$4:$E$500,PEMBAYARAN!$A$4:$A$500,$B25,PEMBAYARAN!$B$4:$B$500,"Mei",PEMBAYARAN!$C$4:$C$500,"Minggu 5"),"")</f>
        <v/>
      </c>
      <c r="H25" s="23">
        <f t="shared" si="0"/>
        <v>20000</v>
      </c>
      <c r="I25" s="23">
        <f t="shared" si="1"/>
        <v>0</v>
      </c>
      <c r="J25" s="23">
        <f t="shared" si="2"/>
        <v>20000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-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IF(1&lt;=$D$2,SUMIFS(PEMBAYARAN!$E$4:$E$500,PEMBAYARAN!$A$4:$A$500,$B26,PEMBAYARAN!$B$4:$B$500,"Mei",PEMBAYARAN!$C$4:$C$500,"Minggu 1"),"")</f>
        <v>0</v>
      </c>
      <c r="D26" s="23">
        <f>IF(2&lt;=$D$2,SUMIFS(PEMBAYARAN!$E$4:$E$500,PEMBAYARAN!$A$4:$A$500,$B26,PEMBAYARAN!$B$4:$B$500,"Mei",PEMBAYARAN!$C$4:$C$500,"Minggu 2"),"")</f>
        <v>0</v>
      </c>
      <c r="E26" s="23">
        <f>IF(3&lt;=$D$2,SUMIFS(PEMBAYARAN!$E$4:$E$500,PEMBAYARAN!$A$4:$A$500,$B26,PEMBAYARAN!$B$4:$B$500,"Mei",PEMBAYARAN!$C$4:$C$500,"Minggu 3"),"")</f>
        <v>0</v>
      </c>
      <c r="F26" s="23">
        <f>IF(4&lt;=$D$2,SUMIFS(PEMBAYARAN!$E$4:$E$500,PEMBAYARAN!$A$4:$A$500,$B26,PEMBAYARAN!$B$4:$B$500,"Mei",PEMBAYARAN!$C$4:$C$500,"Minggu 4"),"")</f>
        <v>0</v>
      </c>
      <c r="G26" s="23" t="str">
        <f>IF(5&lt;=$D$2,SUMIFS(PEMBAYARAN!$E$4:$E$500,PEMBAYARAN!$A$4:$A$500,$B26,PEMBAYARAN!$B$4:$B$500,"Mei",PEMBAYARAN!$C$4:$C$500,"Minggu 5"),"")</f>
        <v/>
      </c>
      <c r="H26" s="23">
        <f t="shared" si="0"/>
        <v>20000</v>
      </c>
      <c r="I26" s="23">
        <f t="shared" si="1"/>
        <v>0</v>
      </c>
      <c r="J26" s="23">
        <f t="shared" si="2"/>
        <v>20000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-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IF(1&lt;=$D$2,SUMIFS(PEMBAYARAN!$E$4:$E$500,PEMBAYARAN!$A$4:$A$500,$B27,PEMBAYARAN!$B$4:$B$500,"Mei",PEMBAYARAN!$C$4:$C$500,"Minggu 1"),"")</f>
        <v>0</v>
      </c>
      <c r="D27" s="23">
        <f>IF(2&lt;=$D$2,SUMIFS(PEMBAYARAN!$E$4:$E$500,PEMBAYARAN!$A$4:$A$500,$B27,PEMBAYARAN!$B$4:$B$500,"Mei",PEMBAYARAN!$C$4:$C$500,"Minggu 2"),"")</f>
        <v>0</v>
      </c>
      <c r="E27" s="23">
        <f>IF(3&lt;=$D$2,SUMIFS(PEMBAYARAN!$E$4:$E$500,PEMBAYARAN!$A$4:$A$500,$B27,PEMBAYARAN!$B$4:$B$500,"Mei",PEMBAYARAN!$C$4:$C$500,"Minggu 3"),"")</f>
        <v>0</v>
      </c>
      <c r="F27" s="23">
        <f>IF(4&lt;=$D$2,SUMIFS(PEMBAYARAN!$E$4:$E$500,PEMBAYARAN!$A$4:$A$500,$B27,PEMBAYARAN!$B$4:$B$500,"Mei",PEMBAYARAN!$C$4:$C$500,"Minggu 4"),"")</f>
        <v>0</v>
      </c>
      <c r="G27" s="23" t="str">
        <f>IF(5&lt;=$D$2,SUMIFS(PEMBAYARAN!$E$4:$E$500,PEMBAYARAN!$A$4:$A$500,$B27,PEMBAYARAN!$B$4:$B$500,"Mei",PEMBAYARAN!$C$4:$C$500,"Minggu 5"),"")</f>
        <v/>
      </c>
      <c r="H27" s="23">
        <f t="shared" si="0"/>
        <v>20000</v>
      </c>
      <c r="I27" s="23">
        <f t="shared" si="1"/>
        <v>0</v>
      </c>
      <c r="J27" s="23">
        <f t="shared" si="2"/>
        <v>20000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-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IF(1&lt;=$D$2,SUMIFS(PEMBAYARAN!$E$4:$E$500,PEMBAYARAN!$A$4:$A$500,$B28,PEMBAYARAN!$B$4:$B$500,"Mei",PEMBAYARAN!$C$4:$C$500,"Minggu 1"),"")</f>
        <v>0</v>
      </c>
      <c r="D28" s="23">
        <f>IF(2&lt;=$D$2,SUMIFS(PEMBAYARAN!$E$4:$E$500,PEMBAYARAN!$A$4:$A$500,$B28,PEMBAYARAN!$B$4:$B$500,"Mei",PEMBAYARAN!$C$4:$C$500,"Minggu 2"),"")</f>
        <v>0</v>
      </c>
      <c r="E28" s="23">
        <f>IF(3&lt;=$D$2,SUMIFS(PEMBAYARAN!$E$4:$E$500,PEMBAYARAN!$A$4:$A$500,$B28,PEMBAYARAN!$B$4:$B$500,"Mei",PEMBAYARAN!$C$4:$C$500,"Minggu 3"),"")</f>
        <v>0</v>
      </c>
      <c r="F28" s="23">
        <f>IF(4&lt;=$D$2,SUMIFS(PEMBAYARAN!$E$4:$E$500,PEMBAYARAN!$A$4:$A$500,$B28,PEMBAYARAN!$B$4:$B$500,"Mei",PEMBAYARAN!$C$4:$C$500,"Minggu 4"),"")</f>
        <v>0</v>
      </c>
      <c r="G28" s="23" t="str">
        <f>IF(5&lt;=$D$2,SUMIFS(PEMBAYARAN!$E$4:$E$500,PEMBAYARAN!$A$4:$A$500,$B28,PEMBAYARAN!$B$4:$B$500,"Mei",PEMBAYARAN!$C$4:$C$500,"Minggu 5"),"")</f>
        <v/>
      </c>
      <c r="H28" s="23">
        <f t="shared" si="0"/>
        <v>20000</v>
      </c>
      <c r="I28" s="23">
        <f t="shared" si="1"/>
        <v>0</v>
      </c>
      <c r="J28" s="23">
        <f t="shared" si="2"/>
        <v>20000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-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IF(1&lt;=$D$2,SUMIFS(PEMBAYARAN!$E$4:$E$500,PEMBAYARAN!$A$4:$A$500,$B29,PEMBAYARAN!$B$4:$B$500,"Mei",PEMBAYARAN!$C$4:$C$500,"Minggu 1"),"")</f>
        <v>0</v>
      </c>
      <c r="D29" s="23">
        <f>IF(2&lt;=$D$2,SUMIFS(PEMBAYARAN!$E$4:$E$500,PEMBAYARAN!$A$4:$A$500,$B29,PEMBAYARAN!$B$4:$B$500,"Mei",PEMBAYARAN!$C$4:$C$500,"Minggu 2"),"")</f>
        <v>0</v>
      </c>
      <c r="E29" s="23">
        <f>IF(3&lt;=$D$2,SUMIFS(PEMBAYARAN!$E$4:$E$500,PEMBAYARAN!$A$4:$A$500,$B29,PEMBAYARAN!$B$4:$B$500,"Mei",PEMBAYARAN!$C$4:$C$500,"Minggu 3"),"")</f>
        <v>0</v>
      </c>
      <c r="F29" s="23">
        <f>IF(4&lt;=$D$2,SUMIFS(PEMBAYARAN!$E$4:$E$500,PEMBAYARAN!$A$4:$A$500,$B29,PEMBAYARAN!$B$4:$B$500,"Mei",PEMBAYARAN!$C$4:$C$500,"Minggu 4"),"")</f>
        <v>0</v>
      </c>
      <c r="G29" s="23" t="str">
        <f>IF(5&lt;=$D$2,SUMIFS(PEMBAYARAN!$E$4:$E$500,PEMBAYARAN!$A$4:$A$500,$B29,PEMBAYARAN!$B$4:$B$500,"Mei",PEMBAYARAN!$C$4:$C$500,"Minggu 5"),"")</f>
        <v/>
      </c>
      <c r="H29" s="23">
        <f t="shared" si="0"/>
        <v>20000</v>
      </c>
      <c r="I29" s="23">
        <f t="shared" si="1"/>
        <v>0</v>
      </c>
      <c r="J29" s="23">
        <f t="shared" si="2"/>
        <v>20000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-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IF(1&lt;=$D$2,SUMIFS(PEMBAYARAN!$E$4:$E$500,PEMBAYARAN!$A$4:$A$500,$B30,PEMBAYARAN!$B$4:$B$500,"Mei",PEMBAYARAN!$C$4:$C$500,"Minggu 1"),"")</f>
        <v>0</v>
      </c>
      <c r="D30" s="23">
        <f>IF(2&lt;=$D$2,SUMIFS(PEMBAYARAN!$E$4:$E$500,PEMBAYARAN!$A$4:$A$500,$B30,PEMBAYARAN!$B$4:$B$500,"Mei",PEMBAYARAN!$C$4:$C$500,"Minggu 2"),"")</f>
        <v>0</v>
      </c>
      <c r="E30" s="23">
        <f>IF(3&lt;=$D$2,SUMIFS(PEMBAYARAN!$E$4:$E$500,PEMBAYARAN!$A$4:$A$500,$B30,PEMBAYARAN!$B$4:$B$500,"Mei",PEMBAYARAN!$C$4:$C$500,"Minggu 3"),"")</f>
        <v>0</v>
      </c>
      <c r="F30" s="23">
        <f>IF(4&lt;=$D$2,SUMIFS(PEMBAYARAN!$E$4:$E$500,PEMBAYARAN!$A$4:$A$500,$B30,PEMBAYARAN!$B$4:$B$500,"Mei",PEMBAYARAN!$C$4:$C$500,"Minggu 4"),"")</f>
        <v>0</v>
      </c>
      <c r="G30" s="23" t="str">
        <f>IF(5&lt;=$D$2,SUMIFS(PEMBAYARAN!$E$4:$E$500,PEMBAYARAN!$A$4:$A$500,$B30,PEMBAYARAN!$B$4:$B$500,"Mei",PEMBAYARAN!$C$4:$C$500,"Minggu 5"),"")</f>
        <v/>
      </c>
      <c r="H30" s="23">
        <f t="shared" si="0"/>
        <v>20000</v>
      </c>
      <c r="I30" s="23">
        <f t="shared" si="1"/>
        <v>0</v>
      </c>
      <c r="J30" s="23">
        <f t="shared" si="2"/>
        <v>20000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-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IF(1&lt;=$D$2,SUMIFS(PEMBAYARAN!$E$4:$E$500,PEMBAYARAN!$A$4:$A$500,$B31,PEMBAYARAN!$B$4:$B$500,"Mei",PEMBAYARAN!$C$4:$C$500,"Minggu 1"),"")</f>
        <v>0</v>
      </c>
      <c r="D31" s="23">
        <f>IF(2&lt;=$D$2,SUMIFS(PEMBAYARAN!$E$4:$E$500,PEMBAYARAN!$A$4:$A$500,$B31,PEMBAYARAN!$B$4:$B$500,"Mei",PEMBAYARAN!$C$4:$C$500,"Minggu 2"),"")</f>
        <v>0</v>
      </c>
      <c r="E31" s="23">
        <f>IF(3&lt;=$D$2,SUMIFS(PEMBAYARAN!$E$4:$E$500,PEMBAYARAN!$A$4:$A$500,$B31,PEMBAYARAN!$B$4:$B$500,"Mei",PEMBAYARAN!$C$4:$C$500,"Minggu 3"),"")</f>
        <v>0</v>
      </c>
      <c r="F31" s="23">
        <f>IF(4&lt;=$D$2,SUMIFS(PEMBAYARAN!$E$4:$E$500,PEMBAYARAN!$A$4:$A$500,$B31,PEMBAYARAN!$B$4:$B$500,"Mei",PEMBAYARAN!$C$4:$C$500,"Minggu 4"),"")</f>
        <v>0</v>
      </c>
      <c r="G31" s="23" t="str">
        <f>IF(5&lt;=$D$2,SUMIFS(PEMBAYARAN!$E$4:$E$500,PEMBAYARAN!$A$4:$A$500,$B31,PEMBAYARAN!$B$4:$B$500,"Mei",PEMBAYARAN!$C$4:$C$500,"Minggu 5"),"")</f>
        <v/>
      </c>
      <c r="H31" s="23">
        <f t="shared" si="0"/>
        <v>20000</v>
      </c>
      <c r="I31" s="23">
        <f t="shared" si="1"/>
        <v>0</v>
      </c>
      <c r="J31" s="23">
        <f t="shared" si="2"/>
        <v>20000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-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IF(1&lt;=$D$2,SUMIFS(PEMBAYARAN!$E$4:$E$500,PEMBAYARAN!$A$4:$A$500,$B32,PEMBAYARAN!$B$4:$B$500,"Mei",PEMBAYARAN!$C$4:$C$500,"Minggu 1"),"")</f>
        <v>0</v>
      </c>
      <c r="D32" s="23">
        <f>IF(2&lt;=$D$2,SUMIFS(PEMBAYARAN!$E$4:$E$500,PEMBAYARAN!$A$4:$A$500,$B32,PEMBAYARAN!$B$4:$B$500,"Mei",PEMBAYARAN!$C$4:$C$500,"Minggu 2"),"")</f>
        <v>0</v>
      </c>
      <c r="E32" s="23">
        <f>IF(3&lt;=$D$2,SUMIFS(PEMBAYARAN!$E$4:$E$500,PEMBAYARAN!$A$4:$A$500,$B32,PEMBAYARAN!$B$4:$B$500,"Mei",PEMBAYARAN!$C$4:$C$500,"Minggu 3"),"")</f>
        <v>0</v>
      </c>
      <c r="F32" s="23">
        <f>IF(4&lt;=$D$2,SUMIFS(PEMBAYARAN!$E$4:$E$500,PEMBAYARAN!$A$4:$A$500,$B32,PEMBAYARAN!$B$4:$B$500,"Mei",PEMBAYARAN!$C$4:$C$500,"Minggu 4"),"")</f>
        <v>0</v>
      </c>
      <c r="G32" s="23" t="str">
        <f>IF(5&lt;=$D$2,SUMIFS(PEMBAYARAN!$E$4:$E$500,PEMBAYARAN!$A$4:$A$500,$B32,PEMBAYARAN!$B$4:$B$500,"Mei",PEMBAYARAN!$C$4:$C$500,"Minggu 5"),"")</f>
        <v/>
      </c>
      <c r="H32" s="23">
        <f t="shared" si="0"/>
        <v>20000</v>
      </c>
      <c r="I32" s="23">
        <f t="shared" si="1"/>
        <v>0</v>
      </c>
      <c r="J32" s="23">
        <f t="shared" si="2"/>
        <v>20000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-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IF(1&lt;=$D$2,SUMIFS(PEMBAYARAN!$E$4:$E$500,PEMBAYARAN!$A$4:$A$500,$B33,PEMBAYARAN!$B$4:$B$500,"Mei",PEMBAYARAN!$C$4:$C$500,"Minggu 1"),"")</f>
        <v>0</v>
      </c>
      <c r="D33" s="23">
        <f>IF(2&lt;=$D$2,SUMIFS(PEMBAYARAN!$E$4:$E$500,PEMBAYARAN!$A$4:$A$500,$B33,PEMBAYARAN!$B$4:$B$500,"Mei",PEMBAYARAN!$C$4:$C$500,"Minggu 2"),"")</f>
        <v>0</v>
      </c>
      <c r="E33" s="23">
        <f>IF(3&lt;=$D$2,SUMIFS(PEMBAYARAN!$E$4:$E$500,PEMBAYARAN!$A$4:$A$500,$B33,PEMBAYARAN!$B$4:$B$500,"Mei",PEMBAYARAN!$C$4:$C$500,"Minggu 3"),"")</f>
        <v>0</v>
      </c>
      <c r="F33" s="23">
        <f>IF(4&lt;=$D$2,SUMIFS(PEMBAYARAN!$E$4:$E$500,PEMBAYARAN!$A$4:$A$500,$B33,PEMBAYARAN!$B$4:$B$500,"Mei",PEMBAYARAN!$C$4:$C$500,"Minggu 4"),"")</f>
        <v>0</v>
      </c>
      <c r="G33" s="23" t="str">
        <f>IF(5&lt;=$D$2,SUMIFS(PEMBAYARAN!$E$4:$E$500,PEMBAYARAN!$A$4:$A$500,$B33,PEMBAYARAN!$B$4:$B$500,"Mei",PEMBAYARAN!$C$4:$C$500,"Minggu 5"),"")</f>
        <v/>
      </c>
      <c r="H33" s="23">
        <f t="shared" si="0"/>
        <v>20000</v>
      </c>
      <c r="I33" s="23">
        <f t="shared" si="1"/>
        <v>0</v>
      </c>
      <c r="J33" s="23">
        <f t="shared" si="2"/>
        <v>20000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-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IF(1&lt;=$D$2,SUMIFS(PEMBAYARAN!$E$4:$E$500,PEMBAYARAN!$A$4:$A$500,$B34,PEMBAYARAN!$B$4:$B$500,"Mei",PEMBAYARAN!$C$4:$C$500,"Minggu 1"),"")</f>
        <v>0</v>
      </c>
      <c r="D34" s="23">
        <f>IF(2&lt;=$D$2,SUMIFS(PEMBAYARAN!$E$4:$E$500,PEMBAYARAN!$A$4:$A$500,$B34,PEMBAYARAN!$B$4:$B$500,"Mei",PEMBAYARAN!$C$4:$C$500,"Minggu 2"),"")</f>
        <v>0</v>
      </c>
      <c r="E34" s="23">
        <f>IF(3&lt;=$D$2,SUMIFS(PEMBAYARAN!$E$4:$E$500,PEMBAYARAN!$A$4:$A$500,$B34,PEMBAYARAN!$B$4:$B$500,"Mei",PEMBAYARAN!$C$4:$C$500,"Minggu 3"),"")</f>
        <v>0</v>
      </c>
      <c r="F34" s="23">
        <f>IF(4&lt;=$D$2,SUMIFS(PEMBAYARAN!$E$4:$E$500,PEMBAYARAN!$A$4:$A$500,$B34,PEMBAYARAN!$B$4:$B$500,"Mei",PEMBAYARAN!$C$4:$C$500,"Minggu 4"),"")</f>
        <v>0</v>
      </c>
      <c r="G34" s="23" t="str">
        <f>IF(5&lt;=$D$2,SUMIFS(PEMBAYARAN!$E$4:$E$500,PEMBAYARAN!$A$4:$A$500,$B34,PEMBAYARAN!$B$4:$B$500,"Mei",PEMBAYARAN!$C$4:$C$500,"Minggu 5"),"")</f>
        <v/>
      </c>
      <c r="H34" s="23">
        <f t="shared" si="0"/>
        <v>20000</v>
      </c>
      <c r="I34" s="23">
        <f t="shared" si="1"/>
        <v>0</v>
      </c>
      <c r="J34" s="23">
        <f t="shared" si="2"/>
        <v>20000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-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IF(1&lt;=$D$2,SUMIFS(PEMBAYARAN!$E$4:$E$500,PEMBAYARAN!$A$4:$A$500,$B35,PEMBAYARAN!$B$4:$B$500,"Mei",PEMBAYARAN!$C$4:$C$500,"Minggu 1"),"")</f>
        <v>0</v>
      </c>
      <c r="D35" s="23">
        <f>IF(2&lt;=$D$2,SUMIFS(PEMBAYARAN!$E$4:$E$500,PEMBAYARAN!$A$4:$A$500,$B35,PEMBAYARAN!$B$4:$B$500,"Mei",PEMBAYARAN!$C$4:$C$500,"Minggu 2"),"")</f>
        <v>0</v>
      </c>
      <c r="E35" s="23">
        <f>IF(3&lt;=$D$2,SUMIFS(PEMBAYARAN!$E$4:$E$500,PEMBAYARAN!$A$4:$A$500,$B35,PEMBAYARAN!$B$4:$B$500,"Mei",PEMBAYARAN!$C$4:$C$500,"Minggu 3"),"")</f>
        <v>0</v>
      </c>
      <c r="F35" s="23">
        <f>IF(4&lt;=$D$2,SUMIFS(PEMBAYARAN!$E$4:$E$500,PEMBAYARAN!$A$4:$A$500,$B35,PEMBAYARAN!$B$4:$B$500,"Mei",PEMBAYARAN!$C$4:$C$500,"Minggu 4"),"")</f>
        <v>0</v>
      </c>
      <c r="G35" s="23" t="str">
        <f>IF(5&lt;=$D$2,SUMIFS(PEMBAYARAN!$E$4:$E$500,PEMBAYARAN!$A$4:$A$500,$B35,PEMBAYARAN!$B$4:$B$500,"Mei",PEMBAYARAN!$C$4:$C$500,"Minggu 5"),"")</f>
        <v/>
      </c>
      <c r="H35" s="23">
        <f t="shared" si="0"/>
        <v>20000</v>
      </c>
      <c r="I35" s="23">
        <f t="shared" si="1"/>
        <v>0</v>
      </c>
      <c r="J35" s="23">
        <f t="shared" si="2"/>
        <v>20000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-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IF(1&lt;=$D$2,SUMIFS(PEMBAYARAN!$E$4:$E$500,PEMBAYARAN!$A$4:$A$500,$B36,PEMBAYARAN!$B$4:$B$500,"Mei",PEMBAYARAN!$C$4:$C$500,"Minggu 1"),"")</f>
        <v>0</v>
      </c>
      <c r="D36" s="23">
        <f>IF(2&lt;=$D$2,SUMIFS(PEMBAYARAN!$E$4:$E$500,PEMBAYARAN!$A$4:$A$500,$B36,PEMBAYARAN!$B$4:$B$500,"Mei",PEMBAYARAN!$C$4:$C$500,"Minggu 2"),"")</f>
        <v>0</v>
      </c>
      <c r="E36" s="23">
        <f>IF(3&lt;=$D$2,SUMIFS(PEMBAYARAN!$E$4:$E$500,PEMBAYARAN!$A$4:$A$500,$B36,PEMBAYARAN!$B$4:$B$500,"Mei",PEMBAYARAN!$C$4:$C$500,"Minggu 3"),"")</f>
        <v>0</v>
      </c>
      <c r="F36" s="23">
        <f>IF(4&lt;=$D$2,SUMIFS(PEMBAYARAN!$E$4:$E$500,PEMBAYARAN!$A$4:$A$500,$B36,PEMBAYARAN!$B$4:$B$500,"Mei",PEMBAYARAN!$C$4:$C$500,"Minggu 4"),"")</f>
        <v>0</v>
      </c>
      <c r="G36" s="23" t="str">
        <f>IF(5&lt;=$D$2,SUMIFS(PEMBAYARAN!$E$4:$E$500,PEMBAYARAN!$A$4:$A$500,$B36,PEMBAYARAN!$B$4:$B$500,"Mei",PEMBAYARAN!$C$4:$C$500,"Minggu 5"),"")</f>
        <v/>
      </c>
      <c r="H36" s="23">
        <f t="shared" si="0"/>
        <v>20000</v>
      </c>
      <c r="I36" s="23">
        <f t="shared" si="1"/>
        <v>0</v>
      </c>
      <c r="J36" s="23">
        <f t="shared" si="2"/>
        <v>20000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-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IF(1&lt;=$D$2,SUMIFS(PEMBAYARAN!$E$4:$E$500,PEMBAYARAN!$A$4:$A$500,$B37,PEMBAYARAN!$B$4:$B$500,"Mei",PEMBAYARAN!$C$4:$C$500,"Minggu 1"),"")</f>
        <v>0</v>
      </c>
      <c r="D37" s="23">
        <f>IF(2&lt;=$D$2,SUMIFS(PEMBAYARAN!$E$4:$E$500,PEMBAYARAN!$A$4:$A$500,$B37,PEMBAYARAN!$B$4:$B$500,"Mei",PEMBAYARAN!$C$4:$C$500,"Minggu 2"),"")</f>
        <v>0</v>
      </c>
      <c r="E37" s="23">
        <f>IF(3&lt;=$D$2,SUMIFS(PEMBAYARAN!$E$4:$E$500,PEMBAYARAN!$A$4:$A$500,$B37,PEMBAYARAN!$B$4:$B$500,"Mei",PEMBAYARAN!$C$4:$C$500,"Minggu 3"),"")</f>
        <v>0</v>
      </c>
      <c r="F37" s="23">
        <f>IF(4&lt;=$D$2,SUMIFS(PEMBAYARAN!$E$4:$E$500,PEMBAYARAN!$A$4:$A$500,$B37,PEMBAYARAN!$B$4:$B$500,"Mei",PEMBAYARAN!$C$4:$C$500,"Minggu 4"),"")</f>
        <v>0</v>
      </c>
      <c r="G37" s="23" t="str">
        <f>IF(5&lt;=$D$2,SUMIFS(PEMBAYARAN!$E$4:$E$500,PEMBAYARAN!$A$4:$A$500,$B37,PEMBAYARAN!$B$4:$B$500,"Mei",PEMBAYARAN!$C$4:$C$500,"Minggu 5"),"")</f>
        <v/>
      </c>
      <c r="H37" s="23">
        <f t="shared" si="0"/>
        <v>20000</v>
      </c>
      <c r="I37" s="23">
        <f t="shared" si="1"/>
        <v>0</v>
      </c>
      <c r="J37" s="23">
        <f t="shared" si="2"/>
        <v>20000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-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IF(1&lt;=$D$2,SUMIFS(PEMBAYARAN!$E$4:$E$500,PEMBAYARAN!$A$4:$A$500,$B38,PEMBAYARAN!$B$4:$B$500,"Mei",PEMBAYARAN!$C$4:$C$500,"Minggu 1"),"")</f>
        <v>0</v>
      </c>
      <c r="D38" s="23">
        <f>IF(2&lt;=$D$2,SUMIFS(PEMBAYARAN!$E$4:$E$500,PEMBAYARAN!$A$4:$A$500,$B38,PEMBAYARAN!$B$4:$B$500,"Mei",PEMBAYARAN!$C$4:$C$500,"Minggu 2"),"")</f>
        <v>0</v>
      </c>
      <c r="E38" s="23">
        <f>IF(3&lt;=$D$2,SUMIFS(PEMBAYARAN!$E$4:$E$500,PEMBAYARAN!$A$4:$A$500,$B38,PEMBAYARAN!$B$4:$B$500,"Mei",PEMBAYARAN!$C$4:$C$500,"Minggu 3"),"")</f>
        <v>0</v>
      </c>
      <c r="F38" s="23">
        <f>IF(4&lt;=$D$2,SUMIFS(PEMBAYARAN!$E$4:$E$500,PEMBAYARAN!$A$4:$A$500,$B38,PEMBAYARAN!$B$4:$B$500,"Mei",PEMBAYARAN!$C$4:$C$500,"Minggu 4"),"")</f>
        <v>0</v>
      </c>
      <c r="G38" s="23" t="str">
        <f>IF(5&lt;=$D$2,SUMIFS(PEMBAYARAN!$E$4:$E$500,PEMBAYARAN!$A$4:$A$500,$B38,PEMBAYARAN!$B$4:$B$500,"Mei",PEMBAYARAN!$C$4:$C$500,"Minggu 5"),"")</f>
        <v/>
      </c>
      <c r="H38" s="23">
        <f t="shared" si="0"/>
        <v>20000</v>
      </c>
      <c r="I38" s="23">
        <f t="shared" si="1"/>
        <v>0</v>
      </c>
      <c r="J38" s="23">
        <f t="shared" si="2"/>
        <v>20000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-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IF(1&lt;=$D$2,SUMIFS(PEMBAYARAN!$E$4:$E$500,PEMBAYARAN!$A$4:$A$500,$B39,PEMBAYARAN!$B$4:$B$500,"Mei",PEMBAYARAN!$C$4:$C$500,"Minggu 1"),"")</f>
        <v>0</v>
      </c>
      <c r="D39" s="23">
        <f>IF(2&lt;=$D$2,SUMIFS(PEMBAYARAN!$E$4:$E$500,PEMBAYARAN!$A$4:$A$500,$B39,PEMBAYARAN!$B$4:$B$500,"Mei",PEMBAYARAN!$C$4:$C$500,"Minggu 2"),"")</f>
        <v>0</v>
      </c>
      <c r="E39" s="23">
        <f>IF(3&lt;=$D$2,SUMIFS(PEMBAYARAN!$E$4:$E$500,PEMBAYARAN!$A$4:$A$500,$B39,PEMBAYARAN!$B$4:$B$500,"Mei",PEMBAYARAN!$C$4:$C$500,"Minggu 3"),"")</f>
        <v>0</v>
      </c>
      <c r="F39" s="23">
        <f>IF(4&lt;=$D$2,SUMIFS(PEMBAYARAN!$E$4:$E$500,PEMBAYARAN!$A$4:$A$500,$B39,PEMBAYARAN!$B$4:$B$500,"Mei",PEMBAYARAN!$C$4:$C$500,"Minggu 4"),"")</f>
        <v>0</v>
      </c>
      <c r="G39" s="23" t="str">
        <f>IF(5&lt;=$D$2,SUMIFS(PEMBAYARAN!$E$4:$E$500,PEMBAYARAN!$A$4:$A$500,$B39,PEMBAYARAN!$B$4:$B$500,"Mei",PEMBAYARAN!$C$4:$C$500,"Minggu 5"),"")</f>
        <v/>
      </c>
      <c r="H39" s="23">
        <f t="shared" si="0"/>
        <v>20000</v>
      </c>
      <c r="I39" s="23">
        <f t="shared" si="1"/>
        <v>0</v>
      </c>
      <c r="J39" s="23">
        <f t="shared" si="2"/>
        <v>20000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-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IF(1&lt;=$D$2,SUMIFS(PEMBAYARAN!$E$4:$E$500,PEMBAYARAN!$A$4:$A$500,$B40,PEMBAYARAN!$B$4:$B$500,"Mei",PEMBAYARAN!$C$4:$C$500,"Minggu 1"),"")</f>
        <v>0</v>
      </c>
      <c r="D40" s="23">
        <f>IF(2&lt;=$D$2,SUMIFS(PEMBAYARAN!$E$4:$E$500,PEMBAYARAN!$A$4:$A$500,$B40,PEMBAYARAN!$B$4:$B$500,"Mei",PEMBAYARAN!$C$4:$C$500,"Minggu 2"),"")</f>
        <v>0</v>
      </c>
      <c r="E40" s="23">
        <f>IF(3&lt;=$D$2,SUMIFS(PEMBAYARAN!$E$4:$E$500,PEMBAYARAN!$A$4:$A$500,$B40,PEMBAYARAN!$B$4:$B$500,"Mei",PEMBAYARAN!$C$4:$C$500,"Minggu 3"),"")</f>
        <v>0</v>
      </c>
      <c r="F40" s="23">
        <f>IF(4&lt;=$D$2,SUMIFS(PEMBAYARAN!$E$4:$E$500,PEMBAYARAN!$A$4:$A$500,$B40,PEMBAYARAN!$B$4:$B$500,"Mei",PEMBAYARAN!$C$4:$C$500,"Minggu 4"),"")</f>
        <v>0</v>
      </c>
      <c r="G40" s="23" t="str">
        <f>IF(5&lt;=$D$2,SUMIFS(PEMBAYARAN!$E$4:$E$500,PEMBAYARAN!$A$4:$A$500,$B40,PEMBAYARAN!$B$4:$B$500,"Mei",PEMBAYARAN!$C$4:$C$500,"Minggu 5"),"")</f>
        <v/>
      </c>
      <c r="H40" s="23">
        <f t="shared" si="0"/>
        <v>20000</v>
      </c>
      <c r="I40" s="23">
        <f t="shared" si="1"/>
        <v>0</v>
      </c>
      <c r="J40" s="23">
        <f t="shared" si="2"/>
        <v>20000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-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IF(1&lt;=$D$2,SUMIFS(PEMBAYARAN!$E$4:$E$500,PEMBAYARAN!$A$4:$A$500,$B41,PEMBAYARAN!$B$4:$B$500,"Mei",PEMBAYARAN!$C$4:$C$500,"Minggu 1"),"")</f>
        <v>0</v>
      </c>
      <c r="D41" s="23">
        <f>IF(2&lt;=$D$2,SUMIFS(PEMBAYARAN!$E$4:$E$500,PEMBAYARAN!$A$4:$A$500,$B41,PEMBAYARAN!$B$4:$B$500,"Mei",PEMBAYARAN!$C$4:$C$500,"Minggu 2"),"")</f>
        <v>0</v>
      </c>
      <c r="E41" s="23">
        <f>IF(3&lt;=$D$2,SUMIFS(PEMBAYARAN!$E$4:$E$500,PEMBAYARAN!$A$4:$A$500,$B41,PEMBAYARAN!$B$4:$B$500,"Mei",PEMBAYARAN!$C$4:$C$500,"Minggu 3"),"")</f>
        <v>0</v>
      </c>
      <c r="F41" s="23">
        <f>IF(4&lt;=$D$2,SUMIFS(PEMBAYARAN!$E$4:$E$500,PEMBAYARAN!$A$4:$A$500,$B41,PEMBAYARAN!$B$4:$B$500,"Mei",PEMBAYARAN!$C$4:$C$500,"Minggu 4"),"")</f>
        <v>0</v>
      </c>
      <c r="G41" s="23" t="str">
        <f>IF(5&lt;=$D$2,SUMIFS(PEMBAYARAN!$E$4:$E$500,PEMBAYARAN!$A$4:$A$500,$B41,PEMBAYARAN!$B$4:$B$500,"Mei",PEMBAYARAN!$C$4:$C$500,"Minggu 5"),"")</f>
        <v/>
      </c>
      <c r="H41" s="23">
        <f t="shared" si="0"/>
        <v>20000</v>
      </c>
      <c r="I41" s="23">
        <f t="shared" si="1"/>
        <v>0</v>
      </c>
      <c r="J41" s="23">
        <f t="shared" si="2"/>
        <v>20000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-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IF(1&lt;=$D$2,SUMIFS(PEMBAYARAN!$E$4:$E$500,PEMBAYARAN!$A$4:$A$500,$B42,PEMBAYARAN!$B$4:$B$500,"Mei",PEMBAYARAN!$C$4:$C$500,"Minggu 1"),"")</f>
        <v>0</v>
      </c>
      <c r="D42" s="23">
        <f>IF(2&lt;=$D$2,SUMIFS(PEMBAYARAN!$E$4:$E$500,PEMBAYARAN!$A$4:$A$500,$B42,PEMBAYARAN!$B$4:$B$500,"Mei",PEMBAYARAN!$C$4:$C$500,"Minggu 2"),"")</f>
        <v>0</v>
      </c>
      <c r="E42" s="23">
        <f>IF(3&lt;=$D$2,SUMIFS(PEMBAYARAN!$E$4:$E$500,PEMBAYARAN!$A$4:$A$500,$B42,PEMBAYARAN!$B$4:$B$500,"Mei",PEMBAYARAN!$C$4:$C$500,"Minggu 3"),"")</f>
        <v>0</v>
      </c>
      <c r="F42" s="23">
        <f>IF(4&lt;=$D$2,SUMIFS(PEMBAYARAN!$E$4:$E$500,PEMBAYARAN!$A$4:$A$500,$B42,PEMBAYARAN!$B$4:$B$500,"Mei",PEMBAYARAN!$C$4:$C$500,"Minggu 4"),"")</f>
        <v>0</v>
      </c>
      <c r="G42" s="23" t="str">
        <f>IF(5&lt;=$D$2,SUMIFS(PEMBAYARAN!$E$4:$E$500,PEMBAYARAN!$A$4:$A$500,$B42,PEMBAYARAN!$B$4:$B$500,"Mei",PEMBAYARAN!$C$4:$C$500,"Minggu 5"),"")</f>
        <v/>
      </c>
      <c r="H42" s="23">
        <f t="shared" si="0"/>
        <v>20000</v>
      </c>
      <c r="I42" s="23">
        <f t="shared" si="1"/>
        <v>0</v>
      </c>
      <c r="J42" s="23">
        <f t="shared" si="2"/>
        <v>20000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-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IF(1&lt;=$D$2,SUMIFS(PEMBAYARAN!$E$4:$E$500,PEMBAYARAN!$A$4:$A$500,$B43,PEMBAYARAN!$B$4:$B$500,"Mei",PEMBAYARAN!$C$4:$C$500,"Minggu 1"),"")</f>
        <v>0</v>
      </c>
      <c r="D43" s="23">
        <f>IF(2&lt;=$D$2,SUMIFS(PEMBAYARAN!$E$4:$E$500,PEMBAYARAN!$A$4:$A$500,$B43,PEMBAYARAN!$B$4:$B$500,"Mei",PEMBAYARAN!$C$4:$C$500,"Minggu 2"),"")</f>
        <v>0</v>
      </c>
      <c r="E43" s="23">
        <f>IF(3&lt;=$D$2,SUMIFS(PEMBAYARAN!$E$4:$E$500,PEMBAYARAN!$A$4:$A$500,$B43,PEMBAYARAN!$B$4:$B$500,"Mei",PEMBAYARAN!$C$4:$C$500,"Minggu 3"),"")</f>
        <v>0</v>
      </c>
      <c r="F43" s="23">
        <f>IF(4&lt;=$D$2,SUMIFS(PEMBAYARAN!$E$4:$E$500,PEMBAYARAN!$A$4:$A$500,$B43,PEMBAYARAN!$B$4:$B$500,"Mei",PEMBAYARAN!$C$4:$C$500,"Minggu 4"),"")</f>
        <v>0</v>
      </c>
      <c r="G43" s="23" t="str">
        <f>IF(5&lt;=$D$2,SUMIFS(PEMBAYARAN!$E$4:$E$500,PEMBAYARAN!$A$4:$A$500,$B43,PEMBAYARAN!$B$4:$B$500,"Mei",PEMBAYARAN!$C$4:$C$500,"Minggu 5"),"")</f>
        <v/>
      </c>
      <c r="H43" s="23">
        <f t="shared" si="0"/>
        <v>20000</v>
      </c>
      <c r="I43" s="23">
        <f t="shared" si="1"/>
        <v>0</v>
      </c>
      <c r="J43" s="23">
        <f t="shared" si="2"/>
        <v>20000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-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IF(1&lt;=$D$2,SUMIFS(PEMBAYARAN!$E$4:$E$500,PEMBAYARAN!$A$4:$A$500,$B44,PEMBAYARAN!$B$4:$B$500,"Mei",PEMBAYARAN!$C$4:$C$500,"Minggu 1"),"")</f>
        <v>0</v>
      </c>
      <c r="D44" s="23">
        <f>IF(2&lt;=$D$2,SUMIFS(PEMBAYARAN!$E$4:$E$500,PEMBAYARAN!$A$4:$A$500,$B44,PEMBAYARAN!$B$4:$B$500,"Mei",PEMBAYARAN!$C$4:$C$500,"Minggu 2"),"")</f>
        <v>0</v>
      </c>
      <c r="E44" s="23">
        <f>IF(3&lt;=$D$2,SUMIFS(PEMBAYARAN!$E$4:$E$500,PEMBAYARAN!$A$4:$A$500,$B44,PEMBAYARAN!$B$4:$B$500,"Mei",PEMBAYARAN!$C$4:$C$500,"Minggu 3"),"")</f>
        <v>0</v>
      </c>
      <c r="F44" s="23">
        <f>IF(4&lt;=$D$2,SUMIFS(PEMBAYARAN!$E$4:$E$500,PEMBAYARAN!$A$4:$A$500,$B44,PEMBAYARAN!$B$4:$B$500,"Mei",PEMBAYARAN!$C$4:$C$500,"Minggu 4"),"")</f>
        <v>0</v>
      </c>
      <c r="G44" s="23" t="str">
        <f>IF(5&lt;=$D$2,SUMIFS(PEMBAYARAN!$E$4:$E$500,PEMBAYARAN!$A$4:$A$500,$B44,PEMBAYARAN!$B$4:$B$500,"Mei",PEMBAYARAN!$C$4:$C$500,"Minggu 5"),"")</f>
        <v/>
      </c>
      <c r="H44" s="23">
        <f t="shared" si="0"/>
        <v>20000</v>
      </c>
      <c r="I44" s="23">
        <f t="shared" si="1"/>
        <v>0</v>
      </c>
      <c r="J44" s="23">
        <f t="shared" si="2"/>
        <v>20000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-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IF(1&lt;=$D$2,SUMIFS(PEMBAYARAN!$E$4:$E$500,PEMBAYARAN!$A$4:$A$500,$B45,PEMBAYARAN!$B$4:$B$500,"Mei",PEMBAYARAN!$C$4:$C$500,"Minggu 1"),"")</f>
        <v>0</v>
      </c>
      <c r="D45" s="23">
        <f>IF(2&lt;=$D$2,SUMIFS(PEMBAYARAN!$E$4:$E$500,PEMBAYARAN!$A$4:$A$500,$B45,PEMBAYARAN!$B$4:$B$500,"Mei",PEMBAYARAN!$C$4:$C$500,"Minggu 2"),"")</f>
        <v>0</v>
      </c>
      <c r="E45" s="23">
        <f>IF(3&lt;=$D$2,SUMIFS(PEMBAYARAN!$E$4:$E$500,PEMBAYARAN!$A$4:$A$500,$B45,PEMBAYARAN!$B$4:$B$500,"Mei",PEMBAYARAN!$C$4:$C$500,"Minggu 3"),"")</f>
        <v>0</v>
      </c>
      <c r="F45" s="23">
        <f>IF(4&lt;=$D$2,SUMIFS(PEMBAYARAN!$E$4:$E$500,PEMBAYARAN!$A$4:$A$500,$B45,PEMBAYARAN!$B$4:$B$500,"Mei",PEMBAYARAN!$C$4:$C$500,"Minggu 4"),"")</f>
        <v>0</v>
      </c>
      <c r="G45" s="23" t="str">
        <f>IF(5&lt;=$D$2,SUMIFS(PEMBAYARAN!$E$4:$E$500,PEMBAYARAN!$A$4:$A$500,$B45,PEMBAYARAN!$B$4:$B$500,"Mei",PEMBAYARAN!$C$4:$C$500,"Minggu 5"),"")</f>
        <v/>
      </c>
      <c r="H45" s="23">
        <f t="shared" si="0"/>
        <v>20000</v>
      </c>
      <c r="I45" s="23">
        <f t="shared" si="1"/>
        <v>0</v>
      </c>
      <c r="J45" s="23">
        <f t="shared" si="2"/>
        <v>20000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-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820000</v>
      </c>
      <c r="I47" s="31">
        <f>SUM(I5:I45)</f>
        <v>0</v>
      </c>
      <c r="J47" s="31">
        <f>SUM(J5:J45)</f>
        <v>820000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D000000}"/>
  <mergeCells count="2">
    <mergeCell ref="A1:L1"/>
    <mergeCell ref="A2:C2"/>
  </mergeCells>
  <conditionalFormatting sqref="L5:L45">
    <cfRule type="expression" dxfId="8" priority="2">
      <formula>LEFT(L5,5)="LUNAS"</formula>
    </cfRule>
    <cfRule type="cellIs" dxfId="7" priority="3" operator="equal">
      <formula>"CICILAN"</formula>
    </cfRule>
    <cfRule type="cellIs" dxfId="6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5C8A"/>
  </sheetPr>
  <dimension ref="A1:Q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7" width="11" customWidth="1"/>
    <col min="8" max="9" width="13" customWidth="1"/>
    <col min="10" max="11" width="12" customWidth="1"/>
    <col min="12" max="12" width="15" customWidth="1"/>
    <col min="13" max="17" width="13" customWidth="1"/>
  </cols>
  <sheetData>
    <row r="1" spans="1:17" ht="27.75" customHeight="1" x14ac:dyDescent="0.3">
      <c r="A1" s="14" t="s">
        <v>171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3">
      <c r="A2" s="43" t="s">
        <v>145</v>
      </c>
      <c r="B2" s="43"/>
      <c r="C2" s="43"/>
      <c r="D2" s="27">
        <v>4</v>
      </c>
      <c r="E2" s="16" t="s">
        <v>146</v>
      </c>
      <c r="F2" s="17">
        <v>5000</v>
      </c>
    </row>
    <row r="3" spans="1:17" x14ac:dyDescent="0.3">
      <c r="A3" s="18" t="s">
        <v>33</v>
      </c>
    </row>
    <row r="4" spans="1:17" x14ac:dyDescent="0.3">
      <c r="A4" s="19" t="s">
        <v>34</v>
      </c>
      <c r="B4" s="19" t="s">
        <v>35</v>
      </c>
      <c r="C4" s="19" t="s">
        <v>133</v>
      </c>
      <c r="D4" s="19" t="s">
        <v>141</v>
      </c>
      <c r="E4" s="19" t="s">
        <v>147</v>
      </c>
      <c r="F4" s="19" t="s">
        <v>148</v>
      </c>
      <c r="G4" s="19" t="s">
        <v>149</v>
      </c>
      <c r="H4" s="19" t="s">
        <v>150</v>
      </c>
      <c r="I4" s="19" t="s">
        <v>151</v>
      </c>
      <c r="J4" s="19" t="s">
        <v>152</v>
      </c>
      <c r="K4" s="19" t="s">
        <v>153</v>
      </c>
      <c r="L4" s="19" t="s">
        <v>11</v>
      </c>
      <c r="M4" s="19" t="s">
        <v>154</v>
      </c>
      <c r="N4" s="19" t="s">
        <v>155</v>
      </c>
      <c r="O4" s="19" t="s">
        <v>156</v>
      </c>
      <c r="P4" s="19" t="s">
        <v>157</v>
      </c>
      <c r="Q4" s="19" t="s">
        <v>158</v>
      </c>
    </row>
    <row r="5" spans="1:17" ht="26.4" x14ac:dyDescent="0.3">
      <c r="A5" s="28">
        <f>MASTER_ANGGOTA!A5</f>
        <v>1</v>
      </c>
      <c r="B5" s="28" t="str">
        <f>MASTER_ANGGOTA!B5</f>
        <v>Budi</v>
      </c>
      <c r="C5" s="23">
        <f>IF(1&lt;=$D$2,SUMIFS(PEMBAYARAN!$E$4:$E$500,PEMBAYARAN!$A$4:$A$500,$B5,PEMBAYARAN!$B$4:$B$500,"Juni",PEMBAYARAN!$C$4:$C$500,"Minggu 1"),"")</f>
        <v>0</v>
      </c>
      <c r="D5" s="23">
        <f>IF(2&lt;=$D$2,SUMIFS(PEMBAYARAN!$E$4:$E$500,PEMBAYARAN!$A$4:$A$500,$B5,PEMBAYARAN!$B$4:$B$500,"Juni",PEMBAYARAN!$C$4:$C$500,"Minggu 2"),"")</f>
        <v>0</v>
      </c>
      <c r="E5" s="23">
        <f>IF(3&lt;=$D$2,SUMIFS(PEMBAYARAN!$E$4:$E$500,PEMBAYARAN!$A$4:$A$500,$B5,PEMBAYARAN!$B$4:$B$500,"Juni",PEMBAYARAN!$C$4:$C$500,"Minggu 3"),"")</f>
        <v>0</v>
      </c>
      <c r="F5" s="23">
        <f>IF(4&lt;=$D$2,SUMIFS(PEMBAYARAN!$E$4:$E$500,PEMBAYARAN!$A$4:$A$500,$B5,PEMBAYARAN!$B$4:$B$500,"Juni",PEMBAYARAN!$C$4:$C$500,"Minggu 4"),"")</f>
        <v>0</v>
      </c>
      <c r="G5" s="23" t="str">
        <f>IF(5&lt;=$D$2,SUMIFS(PEMBAYARAN!$E$4:$E$500,PEMBAYARAN!$A$4:$A$500,$B5,PEMBAYARAN!$B$4:$B$500,"Juni",PEMBAYARAN!$C$4:$C$500,"Minggu 5"),"")</f>
        <v/>
      </c>
      <c r="H5" s="23">
        <f t="shared" ref="H5:H45" si="0">MIN($D$2,5)*$F$2</f>
        <v>20000</v>
      </c>
      <c r="I5" s="23">
        <f t="shared" ref="I5:I45" si="1">SUM(C5:G5)</f>
        <v>0</v>
      </c>
      <c r="J5" s="23">
        <f t="shared" ref="J5:J45" si="2">MAX(H5-I5,0)</f>
        <v>20000</v>
      </c>
      <c r="K5" s="23">
        <f t="shared" ref="K5:K45" si="3">MAX(I5-H5,0)</f>
        <v>0</v>
      </c>
      <c r="L5" s="29" t="str">
        <f t="shared" ref="L5:L45" si="4">IF(I5=0,"BELUM BAYAR",IF(I5&lt;H5,"CICILAN",IF(I5&gt;H5,"LUNAS (LEBIH)","LUNAS")))</f>
        <v>BELUM BAYAR</v>
      </c>
      <c r="M5" s="29" t="str">
        <f t="shared" ref="M5:M45" si="5">IF(C5="","-",IF(C5=0,"BELUM BAYAR",IF(C5&lt;$F$2,"CICILAN",IF(C5&gt;$F$2,"LUNAS (LEBIH)","LUNAS"))))</f>
        <v>BELUM BAYAR</v>
      </c>
      <c r="N5" s="29" t="str">
        <f t="shared" ref="N5:N45" si="6">IF(D5="","-",IF(D5=0,"BELUM BAYAR",IF(D5&lt;$F$2,"CICILAN",IF(D5&gt;$F$2,"LUNAS (LEBIH)","LUNAS"))))</f>
        <v>BELUM BAYAR</v>
      </c>
      <c r="O5" s="29" t="str">
        <f t="shared" ref="O5:O45" si="7">IF(E5="","-",IF(E5=0,"BELUM BAYAR",IF(E5&lt;$F$2,"CICILAN",IF(E5&gt;$F$2,"LUNAS (LEBIH)","LUNAS"))))</f>
        <v>BELUM BAYAR</v>
      </c>
      <c r="P5" s="29" t="str">
        <f t="shared" ref="P5:P45" si="8">IF(F5="","-",IF(F5=0,"BELUM BAYAR",IF(F5&lt;$F$2,"CICILAN",IF(F5&gt;$F$2,"LUNAS (LEBIH)","LUNAS"))))</f>
        <v>BELUM BAYAR</v>
      </c>
      <c r="Q5" s="29" t="str">
        <f t="shared" ref="Q5:Q45" si="9">IF(G5="","-",IF(G5=0,"BELUM BAYAR",IF(G5&lt;$F$2,"CICILAN",IF(G5&gt;$F$2,"LUNAS (LEBIH)","LUNAS"))))</f>
        <v>-</v>
      </c>
    </row>
    <row r="6" spans="1:17" ht="26.4" x14ac:dyDescent="0.3">
      <c r="A6" s="28">
        <f>MASTER_ANGGOTA!A6</f>
        <v>2</v>
      </c>
      <c r="B6" s="28" t="str">
        <f>MASTER_ANGGOTA!B6</f>
        <v>Andi</v>
      </c>
      <c r="C6" s="23">
        <f>IF(1&lt;=$D$2,SUMIFS(PEMBAYARAN!$E$4:$E$500,PEMBAYARAN!$A$4:$A$500,$B6,PEMBAYARAN!$B$4:$B$500,"Juni",PEMBAYARAN!$C$4:$C$500,"Minggu 1"),"")</f>
        <v>0</v>
      </c>
      <c r="D6" s="23">
        <f>IF(2&lt;=$D$2,SUMIFS(PEMBAYARAN!$E$4:$E$500,PEMBAYARAN!$A$4:$A$500,$B6,PEMBAYARAN!$B$4:$B$500,"Juni",PEMBAYARAN!$C$4:$C$500,"Minggu 2"),"")</f>
        <v>0</v>
      </c>
      <c r="E6" s="23">
        <f>IF(3&lt;=$D$2,SUMIFS(PEMBAYARAN!$E$4:$E$500,PEMBAYARAN!$A$4:$A$500,$B6,PEMBAYARAN!$B$4:$B$500,"Juni",PEMBAYARAN!$C$4:$C$500,"Minggu 3"),"")</f>
        <v>0</v>
      </c>
      <c r="F6" s="23">
        <f>IF(4&lt;=$D$2,SUMIFS(PEMBAYARAN!$E$4:$E$500,PEMBAYARAN!$A$4:$A$500,$B6,PEMBAYARAN!$B$4:$B$500,"Juni",PEMBAYARAN!$C$4:$C$500,"Minggu 4"),"")</f>
        <v>0</v>
      </c>
      <c r="G6" s="23" t="str">
        <f>IF(5&lt;=$D$2,SUMIFS(PEMBAYARAN!$E$4:$E$500,PEMBAYARAN!$A$4:$A$500,$B6,PEMBAYARAN!$B$4:$B$500,"Juni",PEMBAYARAN!$C$4:$C$500,"Minggu 5"),"")</f>
        <v/>
      </c>
      <c r="H6" s="23">
        <f t="shared" si="0"/>
        <v>20000</v>
      </c>
      <c r="I6" s="23">
        <f t="shared" si="1"/>
        <v>0</v>
      </c>
      <c r="J6" s="23">
        <f t="shared" si="2"/>
        <v>20000</v>
      </c>
      <c r="K6" s="23">
        <f t="shared" si="3"/>
        <v>0</v>
      </c>
      <c r="L6" s="29" t="str">
        <f t="shared" si="4"/>
        <v>BELUM BAYAR</v>
      </c>
      <c r="M6" s="29" t="str">
        <f t="shared" si="5"/>
        <v>BELUM BAYAR</v>
      </c>
      <c r="N6" s="29" t="str">
        <f t="shared" si="6"/>
        <v>BELUM BAYAR</v>
      </c>
      <c r="O6" s="29" t="str">
        <f t="shared" si="7"/>
        <v>BELUM BAYAR</v>
      </c>
      <c r="P6" s="29" t="str">
        <f t="shared" si="8"/>
        <v>BELUM BAYAR</v>
      </c>
      <c r="Q6" s="29" t="str">
        <f t="shared" si="9"/>
        <v>-</v>
      </c>
    </row>
    <row r="7" spans="1:17" ht="26.4" x14ac:dyDescent="0.3">
      <c r="A7" s="28">
        <f>MASTER_ANGGOTA!A7</f>
        <v>3</v>
      </c>
      <c r="B7" s="28" t="str">
        <f>MASTER_ANGGOTA!B7</f>
        <v>Citra</v>
      </c>
      <c r="C7" s="23">
        <f>IF(1&lt;=$D$2,SUMIFS(PEMBAYARAN!$E$4:$E$500,PEMBAYARAN!$A$4:$A$500,$B7,PEMBAYARAN!$B$4:$B$500,"Juni",PEMBAYARAN!$C$4:$C$500,"Minggu 1"),"")</f>
        <v>0</v>
      </c>
      <c r="D7" s="23">
        <f>IF(2&lt;=$D$2,SUMIFS(PEMBAYARAN!$E$4:$E$500,PEMBAYARAN!$A$4:$A$500,$B7,PEMBAYARAN!$B$4:$B$500,"Juni",PEMBAYARAN!$C$4:$C$500,"Minggu 2"),"")</f>
        <v>0</v>
      </c>
      <c r="E7" s="23">
        <f>IF(3&lt;=$D$2,SUMIFS(PEMBAYARAN!$E$4:$E$500,PEMBAYARAN!$A$4:$A$500,$B7,PEMBAYARAN!$B$4:$B$500,"Juni",PEMBAYARAN!$C$4:$C$500,"Minggu 3"),"")</f>
        <v>0</v>
      </c>
      <c r="F7" s="23">
        <f>IF(4&lt;=$D$2,SUMIFS(PEMBAYARAN!$E$4:$E$500,PEMBAYARAN!$A$4:$A$500,$B7,PEMBAYARAN!$B$4:$B$500,"Juni",PEMBAYARAN!$C$4:$C$500,"Minggu 4"),"")</f>
        <v>0</v>
      </c>
      <c r="G7" s="23" t="str">
        <f>IF(5&lt;=$D$2,SUMIFS(PEMBAYARAN!$E$4:$E$500,PEMBAYARAN!$A$4:$A$500,$B7,PEMBAYARAN!$B$4:$B$500,"Juni",PEMBAYARAN!$C$4:$C$500,"Minggu 5"),"")</f>
        <v/>
      </c>
      <c r="H7" s="23">
        <f t="shared" si="0"/>
        <v>20000</v>
      </c>
      <c r="I7" s="23">
        <f t="shared" si="1"/>
        <v>0</v>
      </c>
      <c r="J7" s="23">
        <f t="shared" si="2"/>
        <v>20000</v>
      </c>
      <c r="K7" s="23">
        <f t="shared" si="3"/>
        <v>0</v>
      </c>
      <c r="L7" s="29" t="str">
        <f t="shared" si="4"/>
        <v>BELUM BAYAR</v>
      </c>
      <c r="M7" s="29" t="str">
        <f t="shared" si="5"/>
        <v>BELUM BAYAR</v>
      </c>
      <c r="N7" s="29" t="str">
        <f t="shared" si="6"/>
        <v>BELUM BAYAR</v>
      </c>
      <c r="O7" s="29" t="str">
        <f t="shared" si="7"/>
        <v>BELUM BAYAR</v>
      </c>
      <c r="P7" s="29" t="str">
        <f t="shared" si="8"/>
        <v>BELUM BAYAR</v>
      </c>
      <c r="Q7" s="29" t="str">
        <f t="shared" si="9"/>
        <v>-</v>
      </c>
    </row>
    <row r="8" spans="1:17" ht="26.4" x14ac:dyDescent="0.3">
      <c r="A8" s="28">
        <f>MASTER_ANGGOTA!A8</f>
        <v>4</v>
      </c>
      <c r="B8" s="28" t="str">
        <f>MASTER_ANGGOTA!B8</f>
        <v>Doni</v>
      </c>
      <c r="C8" s="23">
        <f>IF(1&lt;=$D$2,SUMIFS(PEMBAYARAN!$E$4:$E$500,PEMBAYARAN!$A$4:$A$500,$B8,PEMBAYARAN!$B$4:$B$500,"Juni",PEMBAYARAN!$C$4:$C$500,"Minggu 1"),"")</f>
        <v>0</v>
      </c>
      <c r="D8" s="23">
        <f>IF(2&lt;=$D$2,SUMIFS(PEMBAYARAN!$E$4:$E$500,PEMBAYARAN!$A$4:$A$500,$B8,PEMBAYARAN!$B$4:$B$500,"Juni",PEMBAYARAN!$C$4:$C$500,"Minggu 2"),"")</f>
        <v>0</v>
      </c>
      <c r="E8" s="23">
        <f>IF(3&lt;=$D$2,SUMIFS(PEMBAYARAN!$E$4:$E$500,PEMBAYARAN!$A$4:$A$500,$B8,PEMBAYARAN!$B$4:$B$500,"Juni",PEMBAYARAN!$C$4:$C$500,"Minggu 3"),"")</f>
        <v>0</v>
      </c>
      <c r="F8" s="23">
        <f>IF(4&lt;=$D$2,SUMIFS(PEMBAYARAN!$E$4:$E$500,PEMBAYARAN!$A$4:$A$500,$B8,PEMBAYARAN!$B$4:$B$500,"Juni",PEMBAYARAN!$C$4:$C$500,"Minggu 4"),"")</f>
        <v>0</v>
      </c>
      <c r="G8" s="23" t="str">
        <f>IF(5&lt;=$D$2,SUMIFS(PEMBAYARAN!$E$4:$E$500,PEMBAYARAN!$A$4:$A$500,$B8,PEMBAYARAN!$B$4:$B$500,"Juni",PEMBAYARAN!$C$4:$C$500,"Minggu 5"),"")</f>
        <v/>
      </c>
      <c r="H8" s="23">
        <f t="shared" si="0"/>
        <v>20000</v>
      </c>
      <c r="I8" s="23">
        <f t="shared" si="1"/>
        <v>0</v>
      </c>
      <c r="J8" s="23">
        <f t="shared" si="2"/>
        <v>20000</v>
      </c>
      <c r="K8" s="23">
        <f t="shared" si="3"/>
        <v>0</v>
      </c>
      <c r="L8" s="29" t="str">
        <f t="shared" si="4"/>
        <v>BELUM BAYAR</v>
      </c>
      <c r="M8" s="29" t="str">
        <f t="shared" si="5"/>
        <v>BELUM BAYAR</v>
      </c>
      <c r="N8" s="29" t="str">
        <f t="shared" si="6"/>
        <v>BELUM BAYAR</v>
      </c>
      <c r="O8" s="29" t="str">
        <f t="shared" si="7"/>
        <v>BELUM BAYAR</v>
      </c>
      <c r="P8" s="29" t="str">
        <f t="shared" si="8"/>
        <v>BELUM BAYAR</v>
      </c>
      <c r="Q8" s="29" t="str">
        <f t="shared" si="9"/>
        <v>-</v>
      </c>
    </row>
    <row r="9" spans="1:17" ht="26.4" x14ac:dyDescent="0.3">
      <c r="A9" s="28">
        <f>MASTER_ANGGOTA!A9</f>
        <v>5</v>
      </c>
      <c r="B9" s="28" t="str">
        <f>MASTER_ANGGOTA!B9</f>
        <v>Nama Siswa 5</v>
      </c>
      <c r="C9" s="23">
        <f>IF(1&lt;=$D$2,SUMIFS(PEMBAYARAN!$E$4:$E$500,PEMBAYARAN!$A$4:$A$500,$B9,PEMBAYARAN!$B$4:$B$500,"Juni",PEMBAYARAN!$C$4:$C$500,"Minggu 1"),"")</f>
        <v>0</v>
      </c>
      <c r="D9" s="23">
        <f>IF(2&lt;=$D$2,SUMIFS(PEMBAYARAN!$E$4:$E$500,PEMBAYARAN!$A$4:$A$500,$B9,PEMBAYARAN!$B$4:$B$500,"Juni",PEMBAYARAN!$C$4:$C$500,"Minggu 2"),"")</f>
        <v>0</v>
      </c>
      <c r="E9" s="23">
        <f>IF(3&lt;=$D$2,SUMIFS(PEMBAYARAN!$E$4:$E$500,PEMBAYARAN!$A$4:$A$500,$B9,PEMBAYARAN!$B$4:$B$500,"Juni",PEMBAYARAN!$C$4:$C$500,"Minggu 3"),"")</f>
        <v>0</v>
      </c>
      <c r="F9" s="23">
        <f>IF(4&lt;=$D$2,SUMIFS(PEMBAYARAN!$E$4:$E$500,PEMBAYARAN!$A$4:$A$500,$B9,PEMBAYARAN!$B$4:$B$500,"Juni",PEMBAYARAN!$C$4:$C$500,"Minggu 4"),"")</f>
        <v>0</v>
      </c>
      <c r="G9" s="23" t="str">
        <f>IF(5&lt;=$D$2,SUMIFS(PEMBAYARAN!$E$4:$E$500,PEMBAYARAN!$A$4:$A$500,$B9,PEMBAYARAN!$B$4:$B$500,"Juni",PEMBAYARAN!$C$4:$C$500,"Minggu 5"),"")</f>
        <v/>
      </c>
      <c r="H9" s="23">
        <f t="shared" si="0"/>
        <v>20000</v>
      </c>
      <c r="I9" s="23">
        <f t="shared" si="1"/>
        <v>0</v>
      </c>
      <c r="J9" s="23">
        <f t="shared" si="2"/>
        <v>20000</v>
      </c>
      <c r="K9" s="23">
        <f t="shared" si="3"/>
        <v>0</v>
      </c>
      <c r="L9" s="29" t="str">
        <f t="shared" si="4"/>
        <v>BELUM BAYAR</v>
      </c>
      <c r="M9" s="29" t="str">
        <f t="shared" si="5"/>
        <v>BELUM BAYAR</v>
      </c>
      <c r="N9" s="29" t="str">
        <f t="shared" si="6"/>
        <v>BELUM BAYAR</v>
      </c>
      <c r="O9" s="29" t="str">
        <f t="shared" si="7"/>
        <v>BELUM BAYAR</v>
      </c>
      <c r="P9" s="29" t="str">
        <f t="shared" si="8"/>
        <v>BELUM BAYAR</v>
      </c>
      <c r="Q9" s="29" t="str">
        <f t="shared" si="9"/>
        <v>-</v>
      </c>
    </row>
    <row r="10" spans="1:17" ht="26.4" x14ac:dyDescent="0.3">
      <c r="A10" s="28">
        <f>MASTER_ANGGOTA!A10</f>
        <v>6</v>
      </c>
      <c r="B10" s="28" t="str">
        <f>MASTER_ANGGOTA!B10</f>
        <v>Nama Siswa 6</v>
      </c>
      <c r="C10" s="23">
        <f>IF(1&lt;=$D$2,SUMIFS(PEMBAYARAN!$E$4:$E$500,PEMBAYARAN!$A$4:$A$500,$B10,PEMBAYARAN!$B$4:$B$500,"Juni",PEMBAYARAN!$C$4:$C$500,"Minggu 1"),"")</f>
        <v>0</v>
      </c>
      <c r="D10" s="23">
        <f>IF(2&lt;=$D$2,SUMIFS(PEMBAYARAN!$E$4:$E$500,PEMBAYARAN!$A$4:$A$500,$B10,PEMBAYARAN!$B$4:$B$500,"Juni",PEMBAYARAN!$C$4:$C$500,"Minggu 2"),"")</f>
        <v>0</v>
      </c>
      <c r="E10" s="23">
        <f>IF(3&lt;=$D$2,SUMIFS(PEMBAYARAN!$E$4:$E$500,PEMBAYARAN!$A$4:$A$500,$B10,PEMBAYARAN!$B$4:$B$500,"Juni",PEMBAYARAN!$C$4:$C$500,"Minggu 3"),"")</f>
        <v>0</v>
      </c>
      <c r="F10" s="23">
        <f>IF(4&lt;=$D$2,SUMIFS(PEMBAYARAN!$E$4:$E$500,PEMBAYARAN!$A$4:$A$500,$B10,PEMBAYARAN!$B$4:$B$500,"Juni",PEMBAYARAN!$C$4:$C$500,"Minggu 4"),"")</f>
        <v>0</v>
      </c>
      <c r="G10" s="23" t="str">
        <f>IF(5&lt;=$D$2,SUMIFS(PEMBAYARAN!$E$4:$E$500,PEMBAYARAN!$A$4:$A$500,$B10,PEMBAYARAN!$B$4:$B$500,"Juni",PEMBAYARAN!$C$4:$C$500,"Minggu 5"),"")</f>
        <v/>
      </c>
      <c r="H10" s="23">
        <f t="shared" si="0"/>
        <v>20000</v>
      </c>
      <c r="I10" s="23">
        <f t="shared" si="1"/>
        <v>0</v>
      </c>
      <c r="J10" s="23">
        <f t="shared" si="2"/>
        <v>20000</v>
      </c>
      <c r="K10" s="23">
        <f t="shared" si="3"/>
        <v>0</v>
      </c>
      <c r="L10" s="29" t="str">
        <f t="shared" si="4"/>
        <v>BELUM BAYAR</v>
      </c>
      <c r="M10" s="29" t="str">
        <f t="shared" si="5"/>
        <v>BELUM BAYAR</v>
      </c>
      <c r="N10" s="29" t="str">
        <f t="shared" si="6"/>
        <v>BELUM BAYAR</v>
      </c>
      <c r="O10" s="29" t="str">
        <f t="shared" si="7"/>
        <v>BELUM BAYAR</v>
      </c>
      <c r="P10" s="29" t="str">
        <f t="shared" si="8"/>
        <v>BELUM BAYAR</v>
      </c>
      <c r="Q10" s="29" t="str">
        <f t="shared" si="9"/>
        <v>-</v>
      </c>
    </row>
    <row r="11" spans="1:17" ht="26.4" x14ac:dyDescent="0.3">
      <c r="A11" s="28">
        <f>MASTER_ANGGOTA!A11</f>
        <v>7</v>
      </c>
      <c r="B11" s="28" t="str">
        <f>MASTER_ANGGOTA!B11</f>
        <v>Nama Siswa 7</v>
      </c>
      <c r="C11" s="23">
        <f>IF(1&lt;=$D$2,SUMIFS(PEMBAYARAN!$E$4:$E$500,PEMBAYARAN!$A$4:$A$500,$B11,PEMBAYARAN!$B$4:$B$500,"Juni",PEMBAYARAN!$C$4:$C$500,"Minggu 1"),"")</f>
        <v>0</v>
      </c>
      <c r="D11" s="23">
        <f>IF(2&lt;=$D$2,SUMIFS(PEMBAYARAN!$E$4:$E$500,PEMBAYARAN!$A$4:$A$500,$B11,PEMBAYARAN!$B$4:$B$500,"Juni",PEMBAYARAN!$C$4:$C$500,"Minggu 2"),"")</f>
        <v>0</v>
      </c>
      <c r="E11" s="23">
        <f>IF(3&lt;=$D$2,SUMIFS(PEMBAYARAN!$E$4:$E$500,PEMBAYARAN!$A$4:$A$500,$B11,PEMBAYARAN!$B$4:$B$500,"Juni",PEMBAYARAN!$C$4:$C$500,"Minggu 3"),"")</f>
        <v>0</v>
      </c>
      <c r="F11" s="23">
        <f>IF(4&lt;=$D$2,SUMIFS(PEMBAYARAN!$E$4:$E$500,PEMBAYARAN!$A$4:$A$500,$B11,PEMBAYARAN!$B$4:$B$500,"Juni",PEMBAYARAN!$C$4:$C$500,"Minggu 4"),"")</f>
        <v>0</v>
      </c>
      <c r="G11" s="23" t="str">
        <f>IF(5&lt;=$D$2,SUMIFS(PEMBAYARAN!$E$4:$E$500,PEMBAYARAN!$A$4:$A$500,$B11,PEMBAYARAN!$B$4:$B$500,"Juni",PEMBAYARAN!$C$4:$C$500,"Minggu 5"),"")</f>
        <v/>
      </c>
      <c r="H11" s="23">
        <f t="shared" si="0"/>
        <v>20000</v>
      </c>
      <c r="I11" s="23">
        <f t="shared" si="1"/>
        <v>0</v>
      </c>
      <c r="J11" s="23">
        <f t="shared" si="2"/>
        <v>20000</v>
      </c>
      <c r="K11" s="23">
        <f t="shared" si="3"/>
        <v>0</v>
      </c>
      <c r="L11" s="29" t="str">
        <f t="shared" si="4"/>
        <v>BELUM BAYAR</v>
      </c>
      <c r="M11" s="29" t="str">
        <f t="shared" si="5"/>
        <v>BELUM BAYAR</v>
      </c>
      <c r="N11" s="29" t="str">
        <f t="shared" si="6"/>
        <v>BELUM BAYAR</v>
      </c>
      <c r="O11" s="29" t="str">
        <f t="shared" si="7"/>
        <v>BELUM BAYAR</v>
      </c>
      <c r="P11" s="29" t="str">
        <f t="shared" si="8"/>
        <v>BELUM BAYAR</v>
      </c>
      <c r="Q11" s="29" t="str">
        <f t="shared" si="9"/>
        <v>-</v>
      </c>
    </row>
    <row r="12" spans="1:17" ht="26.4" x14ac:dyDescent="0.3">
      <c r="A12" s="28">
        <f>MASTER_ANGGOTA!A12</f>
        <v>8</v>
      </c>
      <c r="B12" s="28" t="str">
        <f>MASTER_ANGGOTA!B12</f>
        <v>Nama Siswa 8</v>
      </c>
      <c r="C12" s="23">
        <f>IF(1&lt;=$D$2,SUMIFS(PEMBAYARAN!$E$4:$E$500,PEMBAYARAN!$A$4:$A$500,$B12,PEMBAYARAN!$B$4:$B$500,"Juni",PEMBAYARAN!$C$4:$C$500,"Minggu 1"),"")</f>
        <v>0</v>
      </c>
      <c r="D12" s="23">
        <f>IF(2&lt;=$D$2,SUMIFS(PEMBAYARAN!$E$4:$E$500,PEMBAYARAN!$A$4:$A$500,$B12,PEMBAYARAN!$B$4:$B$500,"Juni",PEMBAYARAN!$C$4:$C$500,"Minggu 2"),"")</f>
        <v>0</v>
      </c>
      <c r="E12" s="23">
        <f>IF(3&lt;=$D$2,SUMIFS(PEMBAYARAN!$E$4:$E$500,PEMBAYARAN!$A$4:$A$500,$B12,PEMBAYARAN!$B$4:$B$500,"Juni",PEMBAYARAN!$C$4:$C$500,"Minggu 3"),"")</f>
        <v>0</v>
      </c>
      <c r="F12" s="23">
        <f>IF(4&lt;=$D$2,SUMIFS(PEMBAYARAN!$E$4:$E$500,PEMBAYARAN!$A$4:$A$500,$B12,PEMBAYARAN!$B$4:$B$500,"Juni",PEMBAYARAN!$C$4:$C$500,"Minggu 4"),"")</f>
        <v>0</v>
      </c>
      <c r="G12" s="23" t="str">
        <f>IF(5&lt;=$D$2,SUMIFS(PEMBAYARAN!$E$4:$E$500,PEMBAYARAN!$A$4:$A$500,$B12,PEMBAYARAN!$B$4:$B$500,"Juni",PEMBAYARAN!$C$4:$C$500,"Minggu 5"),"")</f>
        <v/>
      </c>
      <c r="H12" s="23">
        <f t="shared" si="0"/>
        <v>20000</v>
      </c>
      <c r="I12" s="23">
        <f t="shared" si="1"/>
        <v>0</v>
      </c>
      <c r="J12" s="23">
        <f t="shared" si="2"/>
        <v>20000</v>
      </c>
      <c r="K12" s="23">
        <f t="shared" si="3"/>
        <v>0</v>
      </c>
      <c r="L12" s="29" t="str">
        <f t="shared" si="4"/>
        <v>BELUM BAYAR</v>
      </c>
      <c r="M12" s="29" t="str">
        <f t="shared" si="5"/>
        <v>BELUM BAYAR</v>
      </c>
      <c r="N12" s="29" t="str">
        <f t="shared" si="6"/>
        <v>BELUM BAYAR</v>
      </c>
      <c r="O12" s="29" t="str">
        <f t="shared" si="7"/>
        <v>BELUM BAYAR</v>
      </c>
      <c r="P12" s="29" t="str">
        <f t="shared" si="8"/>
        <v>BELUM BAYAR</v>
      </c>
      <c r="Q12" s="29" t="str">
        <f t="shared" si="9"/>
        <v>-</v>
      </c>
    </row>
    <row r="13" spans="1:17" ht="26.4" x14ac:dyDescent="0.3">
      <c r="A13" s="28">
        <f>MASTER_ANGGOTA!A13</f>
        <v>9</v>
      </c>
      <c r="B13" s="28" t="str">
        <f>MASTER_ANGGOTA!B13</f>
        <v>Nama Siswa 9</v>
      </c>
      <c r="C13" s="23">
        <f>IF(1&lt;=$D$2,SUMIFS(PEMBAYARAN!$E$4:$E$500,PEMBAYARAN!$A$4:$A$500,$B13,PEMBAYARAN!$B$4:$B$500,"Juni",PEMBAYARAN!$C$4:$C$500,"Minggu 1"),"")</f>
        <v>0</v>
      </c>
      <c r="D13" s="23">
        <f>IF(2&lt;=$D$2,SUMIFS(PEMBAYARAN!$E$4:$E$500,PEMBAYARAN!$A$4:$A$500,$B13,PEMBAYARAN!$B$4:$B$500,"Juni",PEMBAYARAN!$C$4:$C$500,"Minggu 2"),"")</f>
        <v>0</v>
      </c>
      <c r="E13" s="23">
        <f>IF(3&lt;=$D$2,SUMIFS(PEMBAYARAN!$E$4:$E$500,PEMBAYARAN!$A$4:$A$500,$B13,PEMBAYARAN!$B$4:$B$500,"Juni",PEMBAYARAN!$C$4:$C$500,"Minggu 3"),"")</f>
        <v>0</v>
      </c>
      <c r="F13" s="23">
        <f>IF(4&lt;=$D$2,SUMIFS(PEMBAYARAN!$E$4:$E$500,PEMBAYARAN!$A$4:$A$500,$B13,PEMBAYARAN!$B$4:$B$500,"Juni",PEMBAYARAN!$C$4:$C$500,"Minggu 4"),"")</f>
        <v>0</v>
      </c>
      <c r="G13" s="23" t="str">
        <f>IF(5&lt;=$D$2,SUMIFS(PEMBAYARAN!$E$4:$E$500,PEMBAYARAN!$A$4:$A$500,$B13,PEMBAYARAN!$B$4:$B$500,"Juni",PEMBAYARAN!$C$4:$C$500,"Minggu 5"),"")</f>
        <v/>
      </c>
      <c r="H13" s="23">
        <f t="shared" si="0"/>
        <v>20000</v>
      </c>
      <c r="I13" s="23">
        <f t="shared" si="1"/>
        <v>0</v>
      </c>
      <c r="J13" s="23">
        <f t="shared" si="2"/>
        <v>20000</v>
      </c>
      <c r="K13" s="23">
        <f t="shared" si="3"/>
        <v>0</v>
      </c>
      <c r="L13" s="29" t="str">
        <f t="shared" si="4"/>
        <v>BELUM BAYAR</v>
      </c>
      <c r="M13" s="29" t="str">
        <f t="shared" si="5"/>
        <v>BELUM BAYAR</v>
      </c>
      <c r="N13" s="29" t="str">
        <f t="shared" si="6"/>
        <v>BELUM BAYAR</v>
      </c>
      <c r="O13" s="29" t="str">
        <f t="shared" si="7"/>
        <v>BELUM BAYAR</v>
      </c>
      <c r="P13" s="29" t="str">
        <f t="shared" si="8"/>
        <v>BELUM BAYAR</v>
      </c>
      <c r="Q13" s="29" t="str">
        <f t="shared" si="9"/>
        <v>-</v>
      </c>
    </row>
    <row r="14" spans="1:17" ht="26.4" x14ac:dyDescent="0.3">
      <c r="A14" s="28">
        <f>MASTER_ANGGOTA!A14</f>
        <v>10</v>
      </c>
      <c r="B14" s="28" t="str">
        <f>MASTER_ANGGOTA!B14</f>
        <v>Nama Siswa 10</v>
      </c>
      <c r="C14" s="23">
        <f>IF(1&lt;=$D$2,SUMIFS(PEMBAYARAN!$E$4:$E$500,PEMBAYARAN!$A$4:$A$500,$B14,PEMBAYARAN!$B$4:$B$500,"Juni",PEMBAYARAN!$C$4:$C$500,"Minggu 1"),"")</f>
        <v>0</v>
      </c>
      <c r="D14" s="23">
        <f>IF(2&lt;=$D$2,SUMIFS(PEMBAYARAN!$E$4:$E$500,PEMBAYARAN!$A$4:$A$500,$B14,PEMBAYARAN!$B$4:$B$500,"Juni",PEMBAYARAN!$C$4:$C$500,"Minggu 2"),"")</f>
        <v>0</v>
      </c>
      <c r="E14" s="23">
        <f>IF(3&lt;=$D$2,SUMIFS(PEMBAYARAN!$E$4:$E$500,PEMBAYARAN!$A$4:$A$500,$B14,PEMBAYARAN!$B$4:$B$500,"Juni",PEMBAYARAN!$C$4:$C$500,"Minggu 3"),"")</f>
        <v>0</v>
      </c>
      <c r="F14" s="23">
        <f>IF(4&lt;=$D$2,SUMIFS(PEMBAYARAN!$E$4:$E$500,PEMBAYARAN!$A$4:$A$500,$B14,PEMBAYARAN!$B$4:$B$500,"Juni",PEMBAYARAN!$C$4:$C$500,"Minggu 4"),"")</f>
        <v>0</v>
      </c>
      <c r="G14" s="23" t="str">
        <f>IF(5&lt;=$D$2,SUMIFS(PEMBAYARAN!$E$4:$E$500,PEMBAYARAN!$A$4:$A$500,$B14,PEMBAYARAN!$B$4:$B$500,"Juni",PEMBAYARAN!$C$4:$C$500,"Minggu 5"),"")</f>
        <v/>
      </c>
      <c r="H14" s="23">
        <f t="shared" si="0"/>
        <v>20000</v>
      </c>
      <c r="I14" s="23">
        <f t="shared" si="1"/>
        <v>0</v>
      </c>
      <c r="J14" s="23">
        <f t="shared" si="2"/>
        <v>20000</v>
      </c>
      <c r="K14" s="23">
        <f t="shared" si="3"/>
        <v>0</v>
      </c>
      <c r="L14" s="29" t="str">
        <f t="shared" si="4"/>
        <v>BELUM BAYAR</v>
      </c>
      <c r="M14" s="29" t="str">
        <f t="shared" si="5"/>
        <v>BELUM BAYAR</v>
      </c>
      <c r="N14" s="29" t="str">
        <f t="shared" si="6"/>
        <v>BELUM BAYAR</v>
      </c>
      <c r="O14" s="29" t="str">
        <f t="shared" si="7"/>
        <v>BELUM BAYAR</v>
      </c>
      <c r="P14" s="29" t="str">
        <f t="shared" si="8"/>
        <v>BELUM BAYAR</v>
      </c>
      <c r="Q14" s="29" t="str">
        <f t="shared" si="9"/>
        <v>-</v>
      </c>
    </row>
    <row r="15" spans="1:17" ht="26.4" x14ac:dyDescent="0.3">
      <c r="A15" s="28">
        <f>MASTER_ANGGOTA!A15</f>
        <v>11</v>
      </c>
      <c r="B15" s="28" t="str">
        <f>MASTER_ANGGOTA!B15</f>
        <v>Nama Siswa 11</v>
      </c>
      <c r="C15" s="23">
        <f>IF(1&lt;=$D$2,SUMIFS(PEMBAYARAN!$E$4:$E$500,PEMBAYARAN!$A$4:$A$500,$B15,PEMBAYARAN!$B$4:$B$500,"Juni",PEMBAYARAN!$C$4:$C$500,"Minggu 1"),"")</f>
        <v>0</v>
      </c>
      <c r="D15" s="23">
        <f>IF(2&lt;=$D$2,SUMIFS(PEMBAYARAN!$E$4:$E$500,PEMBAYARAN!$A$4:$A$500,$B15,PEMBAYARAN!$B$4:$B$500,"Juni",PEMBAYARAN!$C$4:$C$500,"Minggu 2"),"")</f>
        <v>0</v>
      </c>
      <c r="E15" s="23">
        <f>IF(3&lt;=$D$2,SUMIFS(PEMBAYARAN!$E$4:$E$500,PEMBAYARAN!$A$4:$A$500,$B15,PEMBAYARAN!$B$4:$B$500,"Juni",PEMBAYARAN!$C$4:$C$500,"Minggu 3"),"")</f>
        <v>0</v>
      </c>
      <c r="F15" s="23">
        <f>IF(4&lt;=$D$2,SUMIFS(PEMBAYARAN!$E$4:$E$500,PEMBAYARAN!$A$4:$A$500,$B15,PEMBAYARAN!$B$4:$B$500,"Juni",PEMBAYARAN!$C$4:$C$500,"Minggu 4"),"")</f>
        <v>0</v>
      </c>
      <c r="G15" s="23" t="str">
        <f>IF(5&lt;=$D$2,SUMIFS(PEMBAYARAN!$E$4:$E$500,PEMBAYARAN!$A$4:$A$500,$B15,PEMBAYARAN!$B$4:$B$500,"Juni",PEMBAYARAN!$C$4:$C$500,"Minggu 5"),"")</f>
        <v/>
      </c>
      <c r="H15" s="23">
        <f t="shared" si="0"/>
        <v>20000</v>
      </c>
      <c r="I15" s="23">
        <f t="shared" si="1"/>
        <v>0</v>
      </c>
      <c r="J15" s="23">
        <f t="shared" si="2"/>
        <v>20000</v>
      </c>
      <c r="K15" s="23">
        <f t="shared" si="3"/>
        <v>0</v>
      </c>
      <c r="L15" s="29" t="str">
        <f t="shared" si="4"/>
        <v>BELUM BAYAR</v>
      </c>
      <c r="M15" s="29" t="str">
        <f t="shared" si="5"/>
        <v>BELUM BAYAR</v>
      </c>
      <c r="N15" s="29" t="str">
        <f t="shared" si="6"/>
        <v>BELUM BAYAR</v>
      </c>
      <c r="O15" s="29" t="str">
        <f t="shared" si="7"/>
        <v>BELUM BAYAR</v>
      </c>
      <c r="P15" s="29" t="str">
        <f t="shared" si="8"/>
        <v>BELUM BAYAR</v>
      </c>
      <c r="Q15" s="29" t="str">
        <f t="shared" si="9"/>
        <v>-</v>
      </c>
    </row>
    <row r="16" spans="1:17" ht="26.4" x14ac:dyDescent="0.3">
      <c r="A16" s="28">
        <f>MASTER_ANGGOTA!A16</f>
        <v>12</v>
      </c>
      <c r="B16" s="28" t="str">
        <f>MASTER_ANGGOTA!B16</f>
        <v>Nama Siswa 12</v>
      </c>
      <c r="C16" s="23">
        <f>IF(1&lt;=$D$2,SUMIFS(PEMBAYARAN!$E$4:$E$500,PEMBAYARAN!$A$4:$A$500,$B16,PEMBAYARAN!$B$4:$B$500,"Juni",PEMBAYARAN!$C$4:$C$500,"Minggu 1"),"")</f>
        <v>0</v>
      </c>
      <c r="D16" s="23">
        <f>IF(2&lt;=$D$2,SUMIFS(PEMBAYARAN!$E$4:$E$500,PEMBAYARAN!$A$4:$A$500,$B16,PEMBAYARAN!$B$4:$B$500,"Juni",PEMBAYARAN!$C$4:$C$500,"Minggu 2"),"")</f>
        <v>0</v>
      </c>
      <c r="E16" s="23">
        <f>IF(3&lt;=$D$2,SUMIFS(PEMBAYARAN!$E$4:$E$500,PEMBAYARAN!$A$4:$A$500,$B16,PEMBAYARAN!$B$4:$B$500,"Juni",PEMBAYARAN!$C$4:$C$500,"Minggu 3"),"")</f>
        <v>0</v>
      </c>
      <c r="F16" s="23">
        <f>IF(4&lt;=$D$2,SUMIFS(PEMBAYARAN!$E$4:$E$500,PEMBAYARAN!$A$4:$A$500,$B16,PEMBAYARAN!$B$4:$B$500,"Juni",PEMBAYARAN!$C$4:$C$500,"Minggu 4"),"")</f>
        <v>0</v>
      </c>
      <c r="G16" s="23" t="str">
        <f>IF(5&lt;=$D$2,SUMIFS(PEMBAYARAN!$E$4:$E$500,PEMBAYARAN!$A$4:$A$500,$B16,PEMBAYARAN!$B$4:$B$500,"Juni",PEMBAYARAN!$C$4:$C$500,"Minggu 5"),"")</f>
        <v/>
      </c>
      <c r="H16" s="23">
        <f t="shared" si="0"/>
        <v>20000</v>
      </c>
      <c r="I16" s="23">
        <f t="shared" si="1"/>
        <v>0</v>
      </c>
      <c r="J16" s="23">
        <f t="shared" si="2"/>
        <v>20000</v>
      </c>
      <c r="K16" s="23">
        <f t="shared" si="3"/>
        <v>0</v>
      </c>
      <c r="L16" s="29" t="str">
        <f t="shared" si="4"/>
        <v>BELUM BAYAR</v>
      </c>
      <c r="M16" s="29" t="str">
        <f t="shared" si="5"/>
        <v>BELUM BAYAR</v>
      </c>
      <c r="N16" s="29" t="str">
        <f t="shared" si="6"/>
        <v>BELUM BAYAR</v>
      </c>
      <c r="O16" s="29" t="str">
        <f t="shared" si="7"/>
        <v>BELUM BAYAR</v>
      </c>
      <c r="P16" s="29" t="str">
        <f t="shared" si="8"/>
        <v>BELUM BAYAR</v>
      </c>
      <c r="Q16" s="29" t="str">
        <f t="shared" si="9"/>
        <v>-</v>
      </c>
    </row>
    <row r="17" spans="1:17" ht="26.4" x14ac:dyDescent="0.3">
      <c r="A17" s="28">
        <f>MASTER_ANGGOTA!A17</f>
        <v>13</v>
      </c>
      <c r="B17" s="28" t="str">
        <f>MASTER_ANGGOTA!B17</f>
        <v>Nama Siswa 13</v>
      </c>
      <c r="C17" s="23">
        <f>IF(1&lt;=$D$2,SUMIFS(PEMBAYARAN!$E$4:$E$500,PEMBAYARAN!$A$4:$A$500,$B17,PEMBAYARAN!$B$4:$B$500,"Juni",PEMBAYARAN!$C$4:$C$500,"Minggu 1"),"")</f>
        <v>0</v>
      </c>
      <c r="D17" s="23">
        <f>IF(2&lt;=$D$2,SUMIFS(PEMBAYARAN!$E$4:$E$500,PEMBAYARAN!$A$4:$A$500,$B17,PEMBAYARAN!$B$4:$B$500,"Juni",PEMBAYARAN!$C$4:$C$500,"Minggu 2"),"")</f>
        <v>0</v>
      </c>
      <c r="E17" s="23">
        <f>IF(3&lt;=$D$2,SUMIFS(PEMBAYARAN!$E$4:$E$500,PEMBAYARAN!$A$4:$A$500,$B17,PEMBAYARAN!$B$4:$B$500,"Juni",PEMBAYARAN!$C$4:$C$500,"Minggu 3"),"")</f>
        <v>0</v>
      </c>
      <c r="F17" s="23">
        <f>IF(4&lt;=$D$2,SUMIFS(PEMBAYARAN!$E$4:$E$500,PEMBAYARAN!$A$4:$A$500,$B17,PEMBAYARAN!$B$4:$B$500,"Juni",PEMBAYARAN!$C$4:$C$500,"Minggu 4"),"")</f>
        <v>0</v>
      </c>
      <c r="G17" s="23" t="str">
        <f>IF(5&lt;=$D$2,SUMIFS(PEMBAYARAN!$E$4:$E$500,PEMBAYARAN!$A$4:$A$500,$B17,PEMBAYARAN!$B$4:$B$500,"Juni",PEMBAYARAN!$C$4:$C$500,"Minggu 5"),"")</f>
        <v/>
      </c>
      <c r="H17" s="23">
        <f t="shared" si="0"/>
        <v>20000</v>
      </c>
      <c r="I17" s="23">
        <f t="shared" si="1"/>
        <v>0</v>
      </c>
      <c r="J17" s="23">
        <f t="shared" si="2"/>
        <v>20000</v>
      </c>
      <c r="K17" s="23">
        <f t="shared" si="3"/>
        <v>0</v>
      </c>
      <c r="L17" s="29" t="str">
        <f t="shared" si="4"/>
        <v>BELUM BAYAR</v>
      </c>
      <c r="M17" s="29" t="str">
        <f t="shared" si="5"/>
        <v>BELUM BAYAR</v>
      </c>
      <c r="N17" s="29" t="str">
        <f t="shared" si="6"/>
        <v>BELUM BAYAR</v>
      </c>
      <c r="O17" s="29" t="str">
        <f t="shared" si="7"/>
        <v>BELUM BAYAR</v>
      </c>
      <c r="P17" s="29" t="str">
        <f t="shared" si="8"/>
        <v>BELUM BAYAR</v>
      </c>
      <c r="Q17" s="29" t="str">
        <f t="shared" si="9"/>
        <v>-</v>
      </c>
    </row>
    <row r="18" spans="1:17" ht="26.4" x14ac:dyDescent="0.3">
      <c r="A18" s="28">
        <f>MASTER_ANGGOTA!A18</f>
        <v>14</v>
      </c>
      <c r="B18" s="28" t="str">
        <f>MASTER_ANGGOTA!B18</f>
        <v>Nama Siswa 14</v>
      </c>
      <c r="C18" s="23">
        <f>IF(1&lt;=$D$2,SUMIFS(PEMBAYARAN!$E$4:$E$500,PEMBAYARAN!$A$4:$A$500,$B18,PEMBAYARAN!$B$4:$B$500,"Juni",PEMBAYARAN!$C$4:$C$500,"Minggu 1"),"")</f>
        <v>0</v>
      </c>
      <c r="D18" s="23">
        <f>IF(2&lt;=$D$2,SUMIFS(PEMBAYARAN!$E$4:$E$500,PEMBAYARAN!$A$4:$A$500,$B18,PEMBAYARAN!$B$4:$B$500,"Juni",PEMBAYARAN!$C$4:$C$500,"Minggu 2"),"")</f>
        <v>0</v>
      </c>
      <c r="E18" s="23">
        <f>IF(3&lt;=$D$2,SUMIFS(PEMBAYARAN!$E$4:$E$500,PEMBAYARAN!$A$4:$A$500,$B18,PEMBAYARAN!$B$4:$B$500,"Juni",PEMBAYARAN!$C$4:$C$500,"Minggu 3"),"")</f>
        <v>0</v>
      </c>
      <c r="F18" s="23">
        <f>IF(4&lt;=$D$2,SUMIFS(PEMBAYARAN!$E$4:$E$500,PEMBAYARAN!$A$4:$A$500,$B18,PEMBAYARAN!$B$4:$B$500,"Juni",PEMBAYARAN!$C$4:$C$500,"Minggu 4"),"")</f>
        <v>0</v>
      </c>
      <c r="G18" s="23" t="str">
        <f>IF(5&lt;=$D$2,SUMIFS(PEMBAYARAN!$E$4:$E$500,PEMBAYARAN!$A$4:$A$500,$B18,PEMBAYARAN!$B$4:$B$500,"Juni",PEMBAYARAN!$C$4:$C$500,"Minggu 5"),"")</f>
        <v/>
      </c>
      <c r="H18" s="23">
        <f t="shared" si="0"/>
        <v>20000</v>
      </c>
      <c r="I18" s="23">
        <f t="shared" si="1"/>
        <v>0</v>
      </c>
      <c r="J18" s="23">
        <f t="shared" si="2"/>
        <v>20000</v>
      </c>
      <c r="K18" s="23">
        <f t="shared" si="3"/>
        <v>0</v>
      </c>
      <c r="L18" s="29" t="str">
        <f t="shared" si="4"/>
        <v>BELUM BAYAR</v>
      </c>
      <c r="M18" s="29" t="str">
        <f t="shared" si="5"/>
        <v>BELUM BAYAR</v>
      </c>
      <c r="N18" s="29" t="str">
        <f t="shared" si="6"/>
        <v>BELUM BAYAR</v>
      </c>
      <c r="O18" s="29" t="str">
        <f t="shared" si="7"/>
        <v>BELUM BAYAR</v>
      </c>
      <c r="P18" s="29" t="str">
        <f t="shared" si="8"/>
        <v>BELUM BAYAR</v>
      </c>
      <c r="Q18" s="29" t="str">
        <f t="shared" si="9"/>
        <v>-</v>
      </c>
    </row>
    <row r="19" spans="1:17" ht="26.4" x14ac:dyDescent="0.3">
      <c r="A19" s="28">
        <f>MASTER_ANGGOTA!A19</f>
        <v>15</v>
      </c>
      <c r="B19" s="28" t="str">
        <f>MASTER_ANGGOTA!B19</f>
        <v>Nama Siswa 15</v>
      </c>
      <c r="C19" s="23">
        <f>IF(1&lt;=$D$2,SUMIFS(PEMBAYARAN!$E$4:$E$500,PEMBAYARAN!$A$4:$A$500,$B19,PEMBAYARAN!$B$4:$B$500,"Juni",PEMBAYARAN!$C$4:$C$500,"Minggu 1"),"")</f>
        <v>0</v>
      </c>
      <c r="D19" s="23">
        <f>IF(2&lt;=$D$2,SUMIFS(PEMBAYARAN!$E$4:$E$500,PEMBAYARAN!$A$4:$A$500,$B19,PEMBAYARAN!$B$4:$B$500,"Juni",PEMBAYARAN!$C$4:$C$500,"Minggu 2"),"")</f>
        <v>0</v>
      </c>
      <c r="E19" s="23">
        <f>IF(3&lt;=$D$2,SUMIFS(PEMBAYARAN!$E$4:$E$500,PEMBAYARAN!$A$4:$A$500,$B19,PEMBAYARAN!$B$4:$B$500,"Juni",PEMBAYARAN!$C$4:$C$500,"Minggu 3"),"")</f>
        <v>0</v>
      </c>
      <c r="F19" s="23">
        <f>IF(4&lt;=$D$2,SUMIFS(PEMBAYARAN!$E$4:$E$500,PEMBAYARAN!$A$4:$A$500,$B19,PEMBAYARAN!$B$4:$B$500,"Juni",PEMBAYARAN!$C$4:$C$500,"Minggu 4"),"")</f>
        <v>0</v>
      </c>
      <c r="G19" s="23" t="str">
        <f>IF(5&lt;=$D$2,SUMIFS(PEMBAYARAN!$E$4:$E$500,PEMBAYARAN!$A$4:$A$500,$B19,PEMBAYARAN!$B$4:$B$500,"Juni",PEMBAYARAN!$C$4:$C$500,"Minggu 5"),"")</f>
        <v/>
      </c>
      <c r="H19" s="23">
        <f t="shared" si="0"/>
        <v>20000</v>
      </c>
      <c r="I19" s="23">
        <f t="shared" si="1"/>
        <v>0</v>
      </c>
      <c r="J19" s="23">
        <f t="shared" si="2"/>
        <v>20000</v>
      </c>
      <c r="K19" s="23">
        <f t="shared" si="3"/>
        <v>0</v>
      </c>
      <c r="L19" s="29" t="str">
        <f t="shared" si="4"/>
        <v>BELUM BAYAR</v>
      </c>
      <c r="M19" s="29" t="str">
        <f t="shared" si="5"/>
        <v>BELUM BAYAR</v>
      </c>
      <c r="N19" s="29" t="str">
        <f t="shared" si="6"/>
        <v>BELUM BAYAR</v>
      </c>
      <c r="O19" s="29" t="str">
        <f t="shared" si="7"/>
        <v>BELUM BAYAR</v>
      </c>
      <c r="P19" s="29" t="str">
        <f t="shared" si="8"/>
        <v>BELUM BAYAR</v>
      </c>
      <c r="Q19" s="29" t="str">
        <f t="shared" si="9"/>
        <v>-</v>
      </c>
    </row>
    <row r="20" spans="1:17" ht="26.4" x14ac:dyDescent="0.3">
      <c r="A20" s="28">
        <f>MASTER_ANGGOTA!A20</f>
        <v>16</v>
      </c>
      <c r="B20" s="28" t="str">
        <f>MASTER_ANGGOTA!B20</f>
        <v>Nama Siswa 16</v>
      </c>
      <c r="C20" s="23">
        <f>IF(1&lt;=$D$2,SUMIFS(PEMBAYARAN!$E$4:$E$500,PEMBAYARAN!$A$4:$A$500,$B20,PEMBAYARAN!$B$4:$B$500,"Juni",PEMBAYARAN!$C$4:$C$500,"Minggu 1"),"")</f>
        <v>0</v>
      </c>
      <c r="D20" s="23">
        <f>IF(2&lt;=$D$2,SUMIFS(PEMBAYARAN!$E$4:$E$500,PEMBAYARAN!$A$4:$A$500,$B20,PEMBAYARAN!$B$4:$B$500,"Juni",PEMBAYARAN!$C$4:$C$500,"Minggu 2"),"")</f>
        <v>0</v>
      </c>
      <c r="E20" s="23">
        <f>IF(3&lt;=$D$2,SUMIFS(PEMBAYARAN!$E$4:$E$500,PEMBAYARAN!$A$4:$A$500,$B20,PEMBAYARAN!$B$4:$B$500,"Juni",PEMBAYARAN!$C$4:$C$500,"Minggu 3"),"")</f>
        <v>0</v>
      </c>
      <c r="F20" s="23">
        <f>IF(4&lt;=$D$2,SUMIFS(PEMBAYARAN!$E$4:$E$500,PEMBAYARAN!$A$4:$A$500,$B20,PEMBAYARAN!$B$4:$B$500,"Juni",PEMBAYARAN!$C$4:$C$500,"Minggu 4"),"")</f>
        <v>0</v>
      </c>
      <c r="G20" s="23" t="str">
        <f>IF(5&lt;=$D$2,SUMIFS(PEMBAYARAN!$E$4:$E$500,PEMBAYARAN!$A$4:$A$500,$B20,PEMBAYARAN!$B$4:$B$500,"Juni",PEMBAYARAN!$C$4:$C$500,"Minggu 5"),"")</f>
        <v/>
      </c>
      <c r="H20" s="23">
        <f t="shared" si="0"/>
        <v>20000</v>
      </c>
      <c r="I20" s="23">
        <f t="shared" si="1"/>
        <v>0</v>
      </c>
      <c r="J20" s="23">
        <f t="shared" si="2"/>
        <v>20000</v>
      </c>
      <c r="K20" s="23">
        <f t="shared" si="3"/>
        <v>0</v>
      </c>
      <c r="L20" s="29" t="str">
        <f t="shared" si="4"/>
        <v>BELUM BAYAR</v>
      </c>
      <c r="M20" s="29" t="str">
        <f t="shared" si="5"/>
        <v>BELUM BAYAR</v>
      </c>
      <c r="N20" s="29" t="str">
        <f t="shared" si="6"/>
        <v>BELUM BAYAR</v>
      </c>
      <c r="O20" s="29" t="str">
        <f t="shared" si="7"/>
        <v>BELUM BAYAR</v>
      </c>
      <c r="P20" s="29" t="str">
        <f t="shared" si="8"/>
        <v>BELUM BAYAR</v>
      </c>
      <c r="Q20" s="29" t="str">
        <f t="shared" si="9"/>
        <v>-</v>
      </c>
    </row>
    <row r="21" spans="1:17" ht="26.4" x14ac:dyDescent="0.3">
      <c r="A21" s="28">
        <f>MASTER_ANGGOTA!A21</f>
        <v>17</v>
      </c>
      <c r="B21" s="28" t="str">
        <f>MASTER_ANGGOTA!B21</f>
        <v>Nama Siswa 17</v>
      </c>
      <c r="C21" s="23">
        <f>IF(1&lt;=$D$2,SUMIFS(PEMBAYARAN!$E$4:$E$500,PEMBAYARAN!$A$4:$A$500,$B21,PEMBAYARAN!$B$4:$B$500,"Juni",PEMBAYARAN!$C$4:$C$500,"Minggu 1"),"")</f>
        <v>0</v>
      </c>
      <c r="D21" s="23">
        <f>IF(2&lt;=$D$2,SUMIFS(PEMBAYARAN!$E$4:$E$500,PEMBAYARAN!$A$4:$A$500,$B21,PEMBAYARAN!$B$4:$B$500,"Juni",PEMBAYARAN!$C$4:$C$500,"Minggu 2"),"")</f>
        <v>0</v>
      </c>
      <c r="E21" s="23">
        <f>IF(3&lt;=$D$2,SUMIFS(PEMBAYARAN!$E$4:$E$500,PEMBAYARAN!$A$4:$A$500,$B21,PEMBAYARAN!$B$4:$B$500,"Juni",PEMBAYARAN!$C$4:$C$500,"Minggu 3"),"")</f>
        <v>0</v>
      </c>
      <c r="F21" s="23">
        <f>IF(4&lt;=$D$2,SUMIFS(PEMBAYARAN!$E$4:$E$500,PEMBAYARAN!$A$4:$A$500,$B21,PEMBAYARAN!$B$4:$B$500,"Juni",PEMBAYARAN!$C$4:$C$500,"Minggu 4"),"")</f>
        <v>0</v>
      </c>
      <c r="G21" s="23" t="str">
        <f>IF(5&lt;=$D$2,SUMIFS(PEMBAYARAN!$E$4:$E$500,PEMBAYARAN!$A$4:$A$500,$B21,PEMBAYARAN!$B$4:$B$500,"Juni",PEMBAYARAN!$C$4:$C$500,"Minggu 5"),"")</f>
        <v/>
      </c>
      <c r="H21" s="23">
        <f t="shared" si="0"/>
        <v>20000</v>
      </c>
      <c r="I21" s="23">
        <f t="shared" si="1"/>
        <v>0</v>
      </c>
      <c r="J21" s="23">
        <f t="shared" si="2"/>
        <v>20000</v>
      </c>
      <c r="K21" s="23">
        <f t="shared" si="3"/>
        <v>0</v>
      </c>
      <c r="L21" s="29" t="str">
        <f t="shared" si="4"/>
        <v>BELUM BAYAR</v>
      </c>
      <c r="M21" s="29" t="str">
        <f t="shared" si="5"/>
        <v>BELUM BAYAR</v>
      </c>
      <c r="N21" s="29" t="str">
        <f t="shared" si="6"/>
        <v>BELUM BAYAR</v>
      </c>
      <c r="O21" s="29" t="str">
        <f t="shared" si="7"/>
        <v>BELUM BAYAR</v>
      </c>
      <c r="P21" s="29" t="str">
        <f t="shared" si="8"/>
        <v>BELUM BAYAR</v>
      </c>
      <c r="Q21" s="29" t="str">
        <f t="shared" si="9"/>
        <v>-</v>
      </c>
    </row>
    <row r="22" spans="1:17" ht="26.4" x14ac:dyDescent="0.3">
      <c r="A22" s="28">
        <f>MASTER_ANGGOTA!A22</f>
        <v>18</v>
      </c>
      <c r="B22" s="28" t="str">
        <f>MASTER_ANGGOTA!B22</f>
        <v>Nama Siswa 18</v>
      </c>
      <c r="C22" s="23">
        <f>IF(1&lt;=$D$2,SUMIFS(PEMBAYARAN!$E$4:$E$500,PEMBAYARAN!$A$4:$A$500,$B22,PEMBAYARAN!$B$4:$B$500,"Juni",PEMBAYARAN!$C$4:$C$500,"Minggu 1"),"")</f>
        <v>0</v>
      </c>
      <c r="D22" s="23">
        <f>IF(2&lt;=$D$2,SUMIFS(PEMBAYARAN!$E$4:$E$500,PEMBAYARAN!$A$4:$A$500,$B22,PEMBAYARAN!$B$4:$B$500,"Juni",PEMBAYARAN!$C$4:$C$500,"Minggu 2"),"")</f>
        <v>0</v>
      </c>
      <c r="E22" s="23">
        <f>IF(3&lt;=$D$2,SUMIFS(PEMBAYARAN!$E$4:$E$500,PEMBAYARAN!$A$4:$A$500,$B22,PEMBAYARAN!$B$4:$B$500,"Juni",PEMBAYARAN!$C$4:$C$500,"Minggu 3"),"")</f>
        <v>0</v>
      </c>
      <c r="F22" s="23">
        <f>IF(4&lt;=$D$2,SUMIFS(PEMBAYARAN!$E$4:$E$500,PEMBAYARAN!$A$4:$A$500,$B22,PEMBAYARAN!$B$4:$B$500,"Juni",PEMBAYARAN!$C$4:$C$500,"Minggu 4"),"")</f>
        <v>0</v>
      </c>
      <c r="G22" s="23" t="str">
        <f>IF(5&lt;=$D$2,SUMIFS(PEMBAYARAN!$E$4:$E$500,PEMBAYARAN!$A$4:$A$500,$B22,PEMBAYARAN!$B$4:$B$500,"Juni",PEMBAYARAN!$C$4:$C$500,"Minggu 5"),"")</f>
        <v/>
      </c>
      <c r="H22" s="23">
        <f t="shared" si="0"/>
        <v>20000</v>
      </c>
      <c r="I22" s="23">
        <f t="shared" si="1"/>
        <v>0</v>
      </c>
      <c r="J22" s="23">
        <f t="shared" si="2"/>
        <v>20000</v>
      </c>
      <c r="K22" s="23">
        <f t="shared" si="3"/>
        <v>0</v>
      </c>
      <c r="L22" s="29" t="str">
        <f t="shared" si="4"/>
        <v>BELUM BAYAR</v>
      </c>
      <c r="M22" s="29" t="str">
        <f t="shared" si="5"/>
        <v>BELUM BAYAR</v>
      </c>
      <c r="N22" s="29" t="str">
        <f t="shared" si="6"/>
        <v>BELUM BAYAR</v>
      </c>
      <c r="O22" s="29" t="str">
        <f t="shared" si="7"/>
        <v>BELUM BAYAR</v>
      </c>
      <c r="P22" s="29" t="str">
        <f t="shared" si="8"/>
        <v>BELUM BAYAR</v>
      </c>
      <c r="Q22" s="29" t="str">
        <f t="shared" si="9"/>
        <v>-</v>
      </c>
    </row>
    <row r="23" spans="1:17" ht="26.4" x14ac:dyDescent="0.3">
      <c r="A23" s="28">
        <f>MASTER_ANGGOTA!A23</f>
        <v>19</v>
      </c>
      <c r="B23" s="28" t="str">
        <f>MASTER_ANGGOTA!B23</f>
        <v>Nama Siswa 19</v>
      </c>
      <c r="C23" s="23">
        <f>IF(1&lt;=$D$2,SUMIFS(PEMBAYARAN!$E$4:$E$500,PEMBAYARAN!$A$4:$A$500,$B23,PEMBAYARAN!$B$4:$B$500,"Juni",PEMBAYARAN!$C$4:$C$500,"Minggu 1"),"")</f>
        <v>0</v>
      </c>
      <c r="D23" s="23">
        <f>IF(2&lt;=$D$2,SUMIFS(PEMBAYARAN!$E$4:$E$500,PEMBAYARAN!$A$4:$A$500,$B23,PEMBAYARAN!$B$4:$B$500,"Juni",PEMBAYARAN!$C$4:$C$500,"Minggu 2"),"")</f>
        <v>0</v>
      </c>
      <c r="E23" s="23">
        <f>IF(3&lt;=$D$2,SUMIFS(PEMBAYARAN!$E$4:$E$500,PEMBAYARAN!$A$4:$A$500,$B23,PEMBAYARAN!$B$4:$B$500,"Juni",PEMBAYARAN!$C$4:$C$500,"Minggu 3"),"")</f>
        <v>0</v>
      </c>
      <c r="F23" s="23">
        <f>IF(4&lt;=$D$2,SUMIFS(PEMBAYARAN!$E$4:$E$500,PEMBAYARAN!$A$4:$A$500,$B23,PEMBAYARAN!$B$4:$B$500,"Juni",PEMBAYARAN!$C$4:$C$500,"Minggu 4"),"")</f>
        <v>0</v>
      </c>
      <c r="G23" s="23" t="str">
        <f>IF(5&lt;=$D$2,SUMIFS(PEMBAYARAN!$E$4:$E$500,PEMBAYARAN!$A$4:$A$500,$B23,PEMBAYARAN!$B$4:$B$500,"Juni",PEMBAYARAN!$C$4:$C$500,"Minggu 5"),"")</f>
        <v/>
      </c>
      <c r="H23" s="23">
        <f t="shared" si="0"/>
        <v>20000</v>
      </c>
      <c r="I23" s="23">
        <f t="shared" si="1"/>
        <v>0</v>
      </c>
      <c r="J23" s="23">
        <f t="shared" si="2"/>
        <v>20000</v>
      </c>
      <c r="K23" s="23">
        <f t="shared" si="3"/>
        <v>0</v>
      </c>
      <c r="L23" s="29" t="str">
        <f t="shared" si="4"/>
        <v>BELUM BAYAR</v>
      </c>
      <c r="M23" s="29" t="str">
        <f t="shared" si="5"/>
        <v>BELUM BAYAR</v>
      </c>
      <c r="N23" s="29" t="str">
        <f t="shared" si="6"/>
        <v>BELUM BAYAR</v>
      </c>
      <c r="O23" s="29" t="str">
        <f t="shared" si="7"/>
        <v>BELUM BAYAR</v>
      </c>
      <c r="P23" s="29" t="str">
        <f t="shared" si="8"/>
        <v>BELUM BAYAR</v>
      </c>
      <c r="Q23" s="29" t="str">
        <f t="shared" si="9"/>
        <v>-</v>
      </c>
    </row>
    <row r="24" spans="1:17" ht="26.4" x14ac:dyDescent="0.3">
      <c r="A24" s="28">
        <f>MASTER_ANGGOTA!A24</f>
        <v>20</v>
      </c>
      <c r="B24" s="28" t="str">
        <f>MASTER_ANGGOTA!B24</f>
        <v>Nama Siswa 20</v>
      </c>
      <c r="C24" s="23">
        <f>IF(1&lt;=$D$2,SUMIFS(PEMBAYARAN!$E$4:$E$500,PEMBAYARAN!$A$4:$A$500,$B24,PEMBAYARAN!$B$4:$B$500,"Juni",PEMBAYARAN!$C$4:$C$500,"Minggu 1"),"")</f>
        <v>0</v>
      </c>
      <c r="D24" s="23">
        <f>IF(2&lt;=$D$2,SUMIFS(PEMBAYARAN!$E$4:$E$500,PEMBAYARAN!$A$4:$A$500,$B24,PEMBAYARAN!$B$4:$B$500,"Juni",PEMBAYARAN!$C$4:$C$500,"Minggu 2"),"")</f>
        <v>0</v>
      </c>
      <c r="E24" s="23">
        <f>IF(3&lt;=$D$2,SUMIFS(PEMBAYARAN!$E$4:$E$500,PEMBAYARAN!$A$4:$A$500,$B24,PEMBAYARAN!$B$4:$B$500,"Juni",PEMBAYARAN!$C$4:$C$500,"Minggu 3"),"")</f>
        <v>0</v>
      </c>
      <c r="F24" s="23">
        <f>IF(4&lt;=$D$2,SUMIFS(PEMBAYARAN!$E$4:$E$500,PEMBAYARAN!$A$4:$A$500,$B24,PEMBAYARAN!$B$4:$B$500,"Juni",PEMBAYARAN!$C$4:$C$500,"Minggu 4"),"")</f>
        <v>0</v>
      </c>
      <c r="G24" s="23" t="str">
        <f>IF(5&lt;=$D$2,SUMIFS(PEMBAYARAN!$E$4:$E$500,PEMBAYARAN!$A$4:$A$500,$B24,PEMBAYARAN!$B$4:$B$500,"Juni",PEMBAYARAN!$C$4:$C$500,"Minggu 5"),"")</f>
        <v/>
      </c>
      <c r="H24" s="23">
        <f t="shared" si="0"/>
        <v>20000</v>
      </c>
      <c r="I24" s="23">
        <f t="shared" si="1"/>
        <v>0</v>
      </c>
      <c r="J24" s="23">
        <f t="shared" si="2"/>
        <v>20000</v>
      </c>
      <c r="K24" s="23">
        <f t="shared" si="3"/>
        <v>0</v>
      </c>
      <c r="L24" s="29" t="str">
        <f t="shared" si="4"/>
        <v>BELUM BAYAR</v>
      </c>
      <c r="M24" s="29" t="str">
        <f t="shared" si="5"/>
        <v>BELUM BAYAR</v>
      </c>
      <c r="N24" s="29" t="str">
        <f t="shared" si="6"/>
        <v>BELUM BAYAR</v>
      </c>
      <c r="O24" s="29" t="str">
        <f t="shared" si="7"/>
        <v>BELUM BAYAR</v>
      </c>
      <c r="P24" s="29" t="str">
        <f t="shared" si="8"/>
        <v>BELUM BAYAR</v>
      </c>
      <c r="Q24" s="29" t="str">
        <f t="shared" si="9"/>
        <v>-</v>
      </c>
    </row>
    <row r="25" spans="1:17" ht="26.4" x14ac:dyDescent="0.3">
      <c r="A25" s="28">
        <f>MASTER_ANGGOTA!A25</f>
        <v>21</v>
      </c>
      <c r="B25" s="28" t="str">
        <f>MASTER_ANGGOTA!B25</f>
        <v>Nama Siswa 21</v>
      </c>
      <c r="C25" s="23">
        <f>IF(1&lt;=$D$2,SUMIFS(PEMBAYARAN!$E$4:$E$500,PEMBAYARAN!$A$4:$A$500,$B25,PEMBAYARAN!$B$4:$B$500,"Juni",PEMBAYARAN!$C$4:$C$500,"Minggu 1"),"")</f>
        <v>0</v>
      </c>
      <c r="D25" s="23">
        <f>IF(2&lt;=$D$2,SUMIFS(PEMBAYARAN!$E$4:$E$500,PEMBAYARAN!$A$4:$A$500,$B25,PEMBAYARAN!$B$4:$B$500,"Juni",PEMBAYARAN!$C$4:$C$500,"Minggu 2"),"")</f>
        <v>0</v>
      </c>
      <c r="E25" s="23">
        <f>IF(3&lt;=$D$2,SUMIFS(PEMBAYARAN!$E$4:$E$500,PEMBAYARAN!$A$4:$A$500,$B25,PEMBAYARAN!$B$4:$B$500,"Juni",PEMBAYARAN!$C$4:$C$500,"Minggu 3"),"")</f>
        <v>0</v>
      </c>
      <c r="F25" s="23">
        <f>IF(4&lt;=$D$2,SUMIFS(PEMBAYARAN!$E$4:$E$500,PEMBAYARAN!$A$4:$A$500,$B25,PEMBAYARAN!$B$4:$B$500,"Juni",PEMBAYARAN!$C$4:$C$500,"Minggu 4"),"")</f>
        <v>0</v>
      </c>
      <c r="G25" s="23" t="str">
        <f>IF(5&lt;=$D$2,SUMIFS(PEMBAYARAN!$E$4:$E$500,PEMBAYARAN!$A$4:$A$500,$B25,PEMBAYARAN!$B$4:$B$500,"Juni",PEMBAYARAN!$C$4:$C$500,"Minggu 5"),"")</f>
        <v/>
      </c>
      <c r="H25" s="23">
        <f t="shared" si="0"/>
        <v>20000</v>
      </c>
      <c r="I25" s="23">
        <f t="shared" si="1"/>
        <v>0</v>
      </c>
      <c r="J25" s="23">
        <f t="shared" si="2"/>
        <v>20000</v>
      </c>
      <c r="K25" s="23">
        <f t="shared" si="3"/>
        <v>0</v>
      </c>
      <c r="L25" s="29" t="str">
        <f t="shared" si="4"/>
        <v>BELUM BAYAR</v>
      </c>
      <c r="M25" s="29" t="str">
        <f t="shared" si="5"/>
        <v>BELUM BAYAR</v>
      </c>
      <c r="N25" s="29" t="str">
        <f t="shared" si="6"/>
        <v>BELUM BAYAR</v>
      </c>
      <c r="O25" s="29" t="str">
        <f t="shared" si="7"/>
        <v>BELUM BAYAR</v>
      </c>
      <c r="P25" s="29" t="str">
        <f t="shared" si="8"/>
        <v>BELUM BAYAR</v>
      </c>
      <c r="Q25" s="29" t="str">
        <f t="shared" si="9"/>
        <v>-</v>
      </c>
    </row>
    <row r="26" spans="1:17" ht="26.4" x14ac:dyDescent="0.3">
      <c r="A26" s="28">
        <f>MASTER_ANGGOTA!A26</f>
        <v>22</v>
      </c>
      <c r="B26" s="28" t="str">
        <f>MASTER_ANGGOTA!B26</f>
        <v>Nama Siswa 22</v>
      </c>
      <c r="C26" s="23">
        <f>IF(1&lt;=$D$2,SUMIFS(PEMBAYARAN!$E$4:$E$500,PEMBAYARAN!$A$4:$A$500,$B26,PEMBAYARAN!$B$4:$B$500,"Juni",PEMBAYARAN!$C$4:$C$500,"Minggu 1"),"")</f>
        <v>0</v>
      </c>
      <c r="D26" s="23">
        <f>IF(2&lt;=$D$2,SUMIFS(PEMBAYARAN!$E$4:$E$500,PEMBAYARAN!$A$4:$A$500,$B26,PEMBAYARAN!$B$4:$B$500,"Juni",PEMBAYARAN!$C$4:$C$500,"Minggu 2"),"")</f>
        <v>0</v>
      </c>
      <c r="E26" s="23">
        <f>IF(3&lt;=$D$2,SUMIFS(PEMBAYARAN!$E$4:$E$500,PEMBAYARAN!$A$4:$A$500,$B26,PEMBAYARAN!$B$4:$B$500,"Juni",PEMBAYARAN!$C$4:$C$500,"Minggu 3"),"")</f>
        <v>0</v>
      </c>
      <c r="F26" s="23">
        <f>IF(4&lt;=$D$2,SUMIFS(PEMBAYARAN!$E$4:$E$500,PEMBAYARAN!$A$4:$A$500,$B26,PEMBAYARAN!$B$4:$B$500,"Juni",PEMBAYARAN!$C$4:$C$500,"Minggu 4"),"")</f>
        <v>0</v>
      </c>
      <c r="G26" s="23" t="str">
        <f>IF(5&lt;=$D$2,SUMIFS(PEMBAYARAN!$E$4:$E$500,PEMBAYARAN!$A$4:$A$500,$B26,PEMBAYARAN!$B$4:$B$500,"Juni",PEMBAYARAN!$C$4:$C$500,"Minggu 5"),"")</f>
        <v/>
      </c>
      <c r="H26" s="23">
        <f t="shared" si="0"/>
        <v>20000</v>
      </c>
      <c r="I26" s="23">
        <f t="shared" si="1"/>
        <v>0</v>
      </c>
      <c r="J26" s="23">
        <f t="shared" si="2"/>
        <v>20000</v>
      </c>
      <c r="K26" s="23">
        <f t="shared" si="3"/>
        <v>0</v>
      </c>
      <c r="L26" s="29" t="str">
        <f t="shared" si="4"/>
        <v>BELUM BAYAR</v>
      </c>
      <c r="M26" s="29" t="str">
        <f t="shared" si="5"/>
        <v>BELUM BAYAR</v>
      </c>
      <c r="N26" s="29" t="str">
        <f t="shared" si="6"/>
        <v>BELUM BAYAR</v>
      </c>
      <c r="O26" s="29" t="str">
        <f t="shared" si="7"/>
        <v>BELUM BAYAR</v>
      </c>
      <c r="P26" s="29" t="str">
        <f t="shared" si="8"/>
        <v>BELUM BAYAR</v>
      </c>
      <c r="Q26" s="29" t="str">
        <f t="shared" si="9"/>
        <v>-</v>
      </c>
    </row>
    <row r="27" spans="1:17" ht="26.4" x14ac:dyDescent="0.3">
      <c r="A27" s="28">
        <f>MASTER_ANGGOTA!A27</f>
        <v>23</v>
      </c>
      <c r="B27" s="28" t="str">
        <f>MASTER_ANGGOTA!B27</f>
        <v>Nama Siswa 23</v>
      </c>
      <c r="C27" s="23">
        <f>IF(1&lt;=$D$2,SUMIFS(PEMBAYARAN!$E$4:$E$500,PEMBAYARAN!$A$4:$A$500,$B27,PEMBAYARAN!$B$4:$B$500,"Juni",PEMBAYARAN!$C$4:$C$500,"Minggu 1"),"")</f>
        <v>0</v>
      </c>
      <c r="D27" s="23">
        <f>IF(2&lt;=$D$2,SUMIFS(PEMBAYARAN!$E$4:$E$500,PEMBAYARAN!$A$4:$A$500,$B27,PEMBAYARAN!$B$4:$B$500,"Juni",PEMBAYARAN!$C$4:$C$500,"Minggu 2"),"")</f>
        <v>0</v>
      </c>
      <c r="E27" s="23">
        <f>IF(3&lt;=$D$2,SUMIFS(PEMBAYARAN!$E$4:$E$500,PEMBAYARAN!$A$4:$A$500,$B27,PEMBAYARAN!$B$4:$B$500,"Juni",PEMBAYARAN!$C$4:$C$500,"Minggu 3"),"")</f>
        <v>0</v>
      </c>
      <c r="F27" s="23">
        <f>IF(4&lt;=$D$2,SUMIFS(PEMBAYARAN!$E$4:$E$500,PEMBAYARAN!$A$4:$A$500,$B27,PEMBAYARAN!$B$4:$B$500,"Juni",PEMBAYARAN!$C$4:$C$500,"Minggu 4"),"")</f>
        <v>0</v>
      </c>
      <c r="G27" s="23" t="str">
        <f>IF(5&lt;=$D$2,SUMIFS(PEMBAYARAN!$E$4:$E$500,PEMBAYARAN!$A$4:$A$500,$B27,PEMBAYARAN!$B$4:$B$500,"Juni",PEMBAYARAN!$C$4:$C$500,"Minggu 5"),"")</f>
        <v/>
      </c>
      <c r="H27" s="23">
        <f t="shared" si="0"/>
        <v>20000</v>
      </c>
      <c r="I27" s="23">
        <f t="shared" si="1"/>
        <v>0</v>
      </c>
      <c r="J27" s="23">
        <f t="shared" si="2"/>
        <v>20000</v>
      </c>
      <c r="K27" s="23">
        <f t="shared" si="3"/>
        <v>0</v>
      </c>
      <c r="L27" s="29" t="str">
        <f t="shared" si="4"/>
        <v>BELUM BAYAR</v>
      </c>
      <c r="M27" s="29" t="str">
        <f t="shared" si="5"/>
        <v>BELUM BAYAR</v>
      </c>
      <c r="N27" s="29" t="str">
        <f t="shared" si="6"/>
        <v>BELUM BAYAR</v>
      </c>
      <c r="O27" s="29" t="str">
        <f t="shared" si="7"/>
        <v>BELUM BAYAR</v>
      </c>
      <c r="P27" s="29" t="str">
        <f t="shared" si="8"/>
        <v>BELUM BAYAR</v>
      </c>
      <c r="Q27" s="29" t="str">
        <f t="shared" si="9"/>
        <v>-</v>
      </c>
    </row>
    <row r="28" spans="1:17" ht="26.4" x14ac:dyDescent="0.3">
      <c r="A28" s="28">
        <f>MASTER_ANGGOTA!A28</f>
        <v>24</v>
      </c>
      <c r="B28" s="28" t="str">
        <f>MASTER_ANGGOTA!B28</f>
        <v>Nama Siswa 24</v>
      </c>
      <c r="C28" s="23">
        <f>IF(1&lt;=$D$2,SUMIFS(PEMBAYARAN!$E$4:$E$500,PEMBAYARAN!$A$4:$A$500,$B28,PEMBAYARAN!$B$4:$B$500,"Juni",PEMBAYARAN!$C$4:$C$500,"Minggu 1"),"")</f>
        <v>0</v>
      </c>
      <c r="D28" s="23">
        <f>IF(2&lt;=$D$2,SUMIFS(PEMBAYARAN!$E$4:$E$500,PEMBAYARAN!$A$4:$A$500,$B28,PEMBAYARAN!$B$4:$B$500,"Juni",PEMBAYARAN!$C$4:$C$500,"Minggu 2"),"")</f>
        <v>0</v>
      </c>
      <c r="E28" s="23">
        <f>IF(3&lt;=$D$2,SUMIFS(PEMBAYARAN!$E$4:$E$500,PEMBAYARAN!$A$4:$A$500,$B28,PEMBAYARAN!$B$4:$B$500,"Juni",PEMBAYARAN!$C$4:$C$500,"Minggu 3"),"")</f>
        <v>0</v>
      </c>
      <c r="F28" s="23">
        <f>IF(4&lt;=$D$2,SUMIFS(PEMBAYARAN!$E$4:$E$500,PEMBAYARAN!$A$4:$A$500,$B28,PEMBAYARAN!$B$4:$B$500,"Juni",PEMBAYARAN!$C$4:$C$500,"Minggu 4"),"")</f>
        <v>0</v>
      </c>
      <c r="G28" s="23" t="str">
        <f>IF(5&lt;=$D$2,SUMIFS(PEMBAYARAN!$E$4:$E$500,PEMBAYARAN!$A$4:$A$500,$B28,PEMBAYARAN!$B$4:$B$500,"Juni",PEMBAYARAN!$C$4:$C$500,"Minggu 5"),"")</f>
        <v/>
      </c>
      <c r="H28" s="23">
        <f t="shared" si="0"/>
        <v>20000</v>
      </c>
      <c r="I28" s="23">
        <f t="shared" si="1"/>
        <v>0</v>
      </c>
      <c r="J28" s="23">
        <f t="shared" si="2"/>
        <v>20000</v>
      </c>
      <c r="K28" s="23">
        <f t="shared" si="3"/>
        <v>0</v>
      </c>
      <c r="L28" s="29" t="str">
        <f t="shared" si="4"/>
        <v>BELUM BAYAR</v>
      </c>
      <c r="M28" s="29" t="str">
        <f t="shared" si="5"/>
        <v>BELUM BAYAR</v>
      </c>
      <c r="N28" s="29" t="str">
        <f t="shared" si="6"/>
        <v>BELUM BAYAR</v>
      </c>
      <c r="O28" s="29" t="str">
        <f t="shared" si="7"/>
        <v>BELUM BAYAR</v>
      </c>
      <c r="P28" s="29" t="str">
        <f t="shared" si="8"/>
        <v>BELUM BAYAR</v>
      </c>
      <c r="Q28" s="29" t="str">
        <f t="shared" si="9"/>
        <v>-</v>
      </c>
    </row>
    <row r="29" spans="1:17" ht="26.4" x14ac:dyDescent="0.3">
      <c r="A29" s="28">
        <f>MASTER_ANGGOTA!A29</f>
        <v>25</v>
      </c>
      <c r="B29" s="28" t="str">
        <f>MASTER_ANGGOTA!B29</f>
        <v>Nama Siswa 25</v>
      </c>
      <c r="C29" s="23">
        <f>IF(1&lt;=$D$2,SUMIFS(PEMBAYARAN!$E$4:$E$500,PEMBAYARAN!$A$4:$A$500,$B29,PEMBAYARAN!$B$4:$B$500,"Juni",PEMBAYARAN!$C$4:$C$500,"Minggu 1"),"")</f>
        <v>0</v>
      </c>
      <c r="D29" s="23">
        <f>IF(2&lt;=$D$2,SUMIFS(PEMBAYARAN!$E$4:$E$500,PEMBAYARAN!$A$4:$A$500,$B29,PEMBAYARAN!$B$4:$B$500,"Juni",PEMBAYARAN!$C$4:$C$500,"Minggu 2"),"")</f>
        <v>0</v>
      </c>
      <c r="E29" s="23">
        <f>IF(3&lt;=$D$2,SUMIFS(PEMBAYARAN!$E$4:$E$500,PEMBAYARAN!$A$4:$A$500,$B29,PEMBAYARAN!$B$4:$B$500,"Juni",PEMBAYARAN!$C$4:$C$500,"Minggu 3"),"")</f>
        <v>0</v>
      </c>
      <c r="F29" s="23">
        <f>IF(4&lt;=$D$2,SUMIFS(PEMBAYARAN!$E$4:$E$500,PEMBAYARAN!$A$4:$A$500,$B29,PEMBAYARAN!$B$4:$B$500,"Juni",PEMBAYARAN!$C$4:$C$500,"Minggu 4"),"")</f>
        <v>0</v>
      </c>
      <c r="G29" s="23" t="str">
        <f>IF(5&lt;=$D$2,SUMIFS(PEMBAYARAN!$E$4:$E$500,PEMBAYARAN!$A$4:$A$500,$B29,PEMBAYARAN!$B$4:$B$500,"Juni",PEMBAYARAN!$C$4:$C$500,"Minggu 5"),"")</f>
        <v/>
      </c>
      <c r="H29" s="23">
        <f t="shared" si="0"/>
        <v>20000</v>
      </c>
      <c r="I29" s="23">
        <f t="shared" si="1"/>
        <v>0</v>
      </c>
      <c r="J29" s="23">
        <f t="shared" si="2"/>
        <v>20000</v>
      </c>
      <c r="K29" s="23">
        <f t="shared" si="3"/>
        <v>0</v>
      </c>
      <c r="L29" s="29" t="str">
        <f t="shared" si="4"/>
        <v>BELUM BAYAR</v>
      </c>
      <c r="M29" s="29" t="str">
        <f t="shared" si="5"/>
        <v>BELUM BAYAR</v>
      </c>
      <c r="N29" s="29" t="str">
        <f t="shared" si="6"/>
        <v>BELUM BAYAR</v>
      </c>
      <c r="O29" s="29" t="str">
        <f t="shared" si="7"/>
        <v>BELUM BAYAR</v>
      </c>
      <c r="P29" s="29" t="str">
        <f t="shared" si="8"/>
        <v>BELUM BAYAR</v>
      </c>
      <c r="Q29" s="29" t="str">
        <f t="shared" si="9"/>
        <v>-</v>
      </c>
    </row>
    <row r="30" spans="1:17" ht="26.4" x14ac:dyDescent="0.3">
      <c r="A30" s="28">
        <f>MASTER_ANGGOTA!A30</f>
        <v>26</v>
      </c>
      <c r="B30" s="28" t="str">
        <f>MASTER_ANGGOTA!B30</f>
        <v>Nama Siswa 26</v>
      </c>
      <c r="C30" s="23">
        <f>IF(1&lt;=$D$2,SUMIFS(PEMBAYARAN!$E$4:$E$500,PEMBAYARAN!$A$4:$A$500,$B30,PEMBAYARAN!$B$4:$B$500,"Juni",PEMBAYARAN!$C$4:$C$500,"Minggu 1"),"")</f>
        <v>0</v>
      </c>
      <c r="D30" s="23">
        <f>IF(2&lt;=$D$2,SUMIFS(PEMBAYARAN!$E$4:$E$500,PEMBAYARAN!$A$4:$A$500,$B30,PEMBAYARAN!$B$4:$B$500,"Juni",PEMBAYARAN!$C$4:$C$500,"Minggu 2"),"")</f>
        <v>0</v>
      </c>
      <c r="E30" s="23">
        <f>IF(3&lt;=$D$2,SUMIFS(PEMBAYARAN!$E$4:$E$500,PEMBAYARAN!$A$4:$A$500,$B30,PEMBAYARAN!$B$4:$B$500,"Juni",PEMBAYARAN!$C$4:$C$500,"Minggu 3"),"")</f>
        <v>0</v>
      </c>
      <c r="F30" s="23">
        <f>IF(4&lt;=$D$2,SUMIFS(PEMBAYARAN!$E$4:$E$500,PEMBAYARAN!$A$4:$A$500,$B30,PEMBAYARAN!$B$4:$B$500,"Juni",PEMBAYARAN!$C$4:$C$500,"Minggu 4"),"")</f>
        <v>0</v>
      </c>
      <c r="G30" s="23" t="str">
        <f>IF(5&lt;=$D$2,SUMIFS(PEMBAYARAN!$E$4:$E$500,PEMBAYARAN!$A$4:$A$500,$B30,PEMBAYARAN!$B$4:$B$500,"Juni",PEMBAYARAN!$C$4:$C$500,"Minggu 5"),"")</f>
        <v/>
      </c>
      <c r="H30" s="23">
        <f t="shared" si="0"/>
        <v>20000</v>
      </c>
      <c r="I30" s="23">
        <f t="shared" si="1"/>
        <v>0</v>
      </c>
      <c r="J30" s="23">
        <f t="shared" si="2"/>
        <v>20000</v>
      </c>
      <c r="K30" s="23">
        <f t="shared" si="3"/>
        <v>0</v>
      </c>
      <c r="L30" s="29" t="str">
        <f t="shared" si="4"/>
        <v>BELUM BAYAR</v>
      </c>
      <c r="M30" s="29" t="str">
        <f t="shared" si="5"/>
        <v>BELUM BAYAR</v>
      </c>
      <c r="N30" s="29" t="str">
        <f t="shared" si="6"/>
        <v>BELUM BAYAR</v>
      </c>
      <c r="O30" s="29" t="str">
        <f t="shared" si="7"/>
        <v>BELUM BAYAR</v>
      </c>
      <c r="P30" s="29" t="str">
        <f t="shared" si="8"/>
        <v>BELUM BAYAR</v>
      </c>
      <c r="Q30" s="29" t="str">
        <f t="shared" si="9"/>
        <v>-</v>
      </c>
    </row>
    <row r="31" spans="1:17" ht="26.4" x14ac:dyDescent="0.3">
      <c r="A31" s="28">
        <f>MASTER_ANGGOTA!A31</f>
        <v>27</v>
      </c>
      <c r="B31" s="28" t="str">
        <f>MASTER_ANGGOTA!B31</f>
        <v>Nama Siswa 27</v>
      </c>
      <c r="C31" s="23">
        <f>IF(1&lt;=$D$2,SUMIFS(PEMBAYARAN!$E$4:$E$500,PEMBAYARAN!$A$4:$A$500,$B31,PEMBAYARAN!$B$4:$B$500,"Juni",PEMBAYARAN!$C$4:$C$500,"Minggu 1"),"")</f>
        <v>0</v>
      </c>
      <c r="D31" s="23">
        <f>IF(2&lt;=$D$2,SUMIFS(PEMBAYARAN!$E$4:$E$500,PEMBAYARAN!$A$4:$A$500,$B31,PEMBAYARAN!$B$4:$B$500,"Juni",PEMBAYARAN!$C$4:$C$500,"Minggu 2"),"")</f>
        <v>0</v>
      </c>
      <c r="E31" s="23">
        <f>IF(3&lt;=$D$2,SUMIFS(PEMBAYARAN!$E$4:$E$500,PEMBAYARAN!$A$4:$A$500,$B31,PEMBAYARAN!$B$4:$B$500,"Juni",PEMBAYARAN!$C$4:$C$500,"Minggu 3"),"")</f>
        <v>0</v>
      </c>
      <c r="F31" s="23">
        <f>IF(4&lt;=$D$2,SUMIFS(PEMBAYARAN!$E$4:$E$500,PEMBAYARAN!$A$4:$A$500,$B31,PEMBAYARAN!$B$4:$B$500,"Juni",PEMBAYARAN!$C$4:$C$500,"Minggu 4"),"")</f>
        <v>0</v>
      </c>
      <c r="G31" s="23" t="str">
        <f>IF(5&lt;=$D$2,SUMIFS(PEMBAYARAN!$E$4:$E$500,PEMBAYARAN!$A$4:$A$500,$B31,PEMBAYARAN!$B$4:$B$500,"Juni",PEMBAYARAN!$C$4:$C$500,"Minggu 5"),"")</f>
        <v/>
      </c>
      <c r="H31" s="23">
        <f t="shared" si="0"/>
        <v>20000</v>
      </c>
      <c r="I31" s="23">
        <f t="shared" si="1"/>
        <v>0</v>
      </c>
      <c r="J31" s="23">
        <f t="shared" si="2"/>
        <v>20000</v>
      </c>
      <c r="K31" s="23">
        <f t="shared" si="3"/>
        <v>0</v>
      </c>
      <c r="L31" s="29" t="str">
        <f t="shared" si="4"/>
        <v>BELUM BAYAR</v>
      </c>
      <c r="M31" s="29" t="str">
        <f t="shared" si="5"/>
        <v>BELUM BAYAR</v>
      </c>
      <c r="N31" s="29" t="str">
        <f t="shared" si="6"/>
        <v>BELUM BAYAR</v>
      </c>
      <c r="O31" s="29" t="str">
        <f t="shared" si="7"/>
        <v>BELUM BAYAR</v>
      </c>
      <c r="P31" s="29" t="str">
        <f t="shared" si="8"/>
        <v>BELUM BAYAR</v>
      </c>
      <c r="Q31" s="29" t="str">
        <f t="shared" si="9"/>
        <v>-</v>
      </c>
    </row>
    <row r="32" spans="1:17" ht="26.4" x14ac:dyDescent="0.3">
      <c r="A32" s="28">
        <f>MASTER_ANGGOTA!A32</f>
        <v>28</v>
      </c>
      <c r="B32" s="28" t="str">
        <f>MASTER_ANGGOTA!B32</f>
        <v>Nama Siswa 28</v>
      </c>
      <c r="C32" s="23">
        <f>IF(1&lt;=$D$2,SUMIFS(PEMBAYARAN!$E$4:$E$500,PEMBAYARAN!$A$4:$A$500,$B32,PEMBAYARAN!$B$4:$B$500,"Juni",PEMBAYARAN!$C$4:$C$500,"Minggu 1"),"")</f>
        <v>0</v>
      </c>
      <c r="D32" s="23">
        <f>IF(2&lt;=$D$2,SUMIFS(PEMBAYARAN!$E$4:$E$500,PEMBAYARAN!$A$4:$A$500,$B32,PEMBAYARAN!$B$4:$B$500,"Juni",PEMBAYARAN!$C$4:$C$500,"Minggu 2"),"")</f>
        <v>0</v>
      </c>
      <c r="E32" s="23">
        <f>IF(3&lt;=$D$2,SUMIFS(PEMBAYARAN!$E$4:$E$500,PEMBAYARAN!$A$4:$A$500,$B32,PEMBAYARAN!$B$4:$B$500,"Juni",PEMBAYARAN!$C$4:$C$500,"Minggu 3"),"")</f>
        <v>0</v>
      </c>
      <c r="F32" s="23">
        <f>IF(4&lt;=$D$2,SUMIFS(PEMBAYARAN!$E$4:$E$500,PEMBAYARAN!$A$4:$A$500,$B32,PEMBAYARAN!$B$4:$B$500,"Juni",PEMBAYARAN!$C$4:$C$500,"Minggu 4"),"")</f>
        <v>0</v>
      </c>
      <c r="G32" s="23" t="str">
        <f>IF(5&lt;=$D$2,SUMIFS(PEMBAYARAN!$E$4:$E$500,PEMBAYARAN!$A$4:$A$500,$B32,PEMBAYARAN!$B$4:$B$500,"Juni",PEMBAYARAN!$C$4:$C$500,"Minggu 5"),"")</f>
        <v/>
      </c>
      <c r="H32" s="23">
        <f t="shared" si="0"/>
        <v>20000</v>
      </c>
      <c r="I32" s="23">
        <f t="shared" si="1"/>
        <v>0</v>
      </c>
      <c r="J32" s="23">
        <f t="shared" si="2"/>
        <v>20000</v>
      </c>
      <c r="K32" s="23">
        <f t="shared" si="3"/>
        <v>0</v>
      </c>
      <c r="L32" s="29" t="str">
        <f t="shared" si="4"/>
        <v>BELUM BAYAR</v>
      </c>
      <c r="M32" s="29" t="str">
        <f t="shared" si="5"/>
        <v>BELUM BAYAR</v>
      </c>
      <c r="N32" s="29" t="str">
        <f t="shared" si="6"/>
        <v>BELUM BAYAR</v>
      </c>
      <c r="O32" s="29" t="str">
        <f t="shared" si="7"/>
        <v>BELUM BAYAR</v>
      </c>
      <c r="P32" s="29" t="str">
        <f t="shared" si="8"/>
        <v>BELUM BAYAR</v>
      </c>
      <c r="Q32" s="29" t="str">
        <f t="shared" si="9"/>
        <v>-</v>
      </c>
    </row>
    <row r="33" spans="1:17" ht="26.4" x14ac:dyDescent="0.3">
      <c r="A33" s="28">
        <f>MASTER_ANGGOTA!A33</f>
        <v>29</v>
      </c>
      <c r="B33" s="28" t="str">
        <f>MASTER_ANGGOTA!B33</f>
        <v>Nama Siswa 29</v>
      </c>
      <c r="C33" s="23">
        <f>IF(1&lt;=$D$2,SUMIFS(PEMBAYARAN!$E$4:$E$500,PEMBAYARAN!$A$4:$A$500,$B33,PEMBAYARAN!$B$4:$B$500,"Juni",PEMBAYARAN!$C$4:$C$500,"Minggu 1"),"")</f>
        <v>0</v>
      </c>
      <c r="D33" s="23">
        <f>IF(2&lt;=$D$2,SUMIFS(PEMBAYARAN!$E$4:$E$500,PEMBAYARAN!$A$4:$A$500,$B33,PEMBAYARAN!$B$4:$B$500,"Juni",PEMBAYARAN!$C$4:$C$500,"Minggu 2"),"")</f>
        <v>0</v>
      </c>
      <c r="E33" s="23">
        <f>IF(3&lt;=$D$2,SUMIFS(PEMBAYARAN!$E$4:$E$500,PEMBAYARAN!$A$4:$A$500,$B33,PEMBAYARAN!$B$4:$B$500,"Juni",PEMBAYARAN!$C$4:$C$500,"Minggu 3"),"")</f>
        <v>0</v>
      </c>
      <c r="F33" s="23">
        <f>IF(4&lt;=$D$2,SUMIFS(PEMBAYARAN!$E$4:$E$500,PEMBAYARAN!$A$4:$A$500,$B33,PEMBAYARAN!$B$4:$B$500,"Juni",PEMBAYARAN!$C$4:$C$500,"Minggu 4"),"")</f>
        <v>0</v>
      </c>
      <c r="G33" s="23" t="str">
        <f>IF(5&lt;=$D$2,SUMIFS(PEMBAYARAN!$E$4:$E$500,PEMBAYARAN!$A$4:$A$500,$B33,PEMBAYARAN!$B$4:$B$500,"Juni",PEMBAYARAN!$C$4:$C$500,"Minggu 5"),"")</f>
        <v/>
      </c>
      <c r="H33" s="23">
        <f t="shared" si="0"/>
        <v>20000</v>
      </c>
      <c r="I33" s="23">
        <f t="shared" si="1"/>
        <v>0</v>
      </c>
      <c r="J33" s="23">
        <f t="shared" si="2"/>
        <v>20000</v>
      </c>
      <c r="K33" s="23">
        <f t="shared" si="3"/>
        <v>0</v>
      </c>
      <c r="L33" s="29" t="str">
        <f t="shared" si="4"/>
        <v>BELUM BAYAR</v>
      </c>
      <c r="M33" s="29" t="str">
        <f t="shared" si="5"/>
        <v>BELUM BAYAR</v>
      </c>
      <c r="N33" s="29" t="str">
        <f t="shared" si="6"/>
        <v>BELUM BAYAR</v>
      </c>
      <c r="O33" s="29" t="str">
        <f t="shared" si="7"/>
        <v>BELUM BAYAR</v>
      </c>
      <c r="P33" s="29" t="str">
        <f t="shared" si="8"/>
        <v>BELUM BAYAR</v>
      </c>
      <c r="Q33" s="29" t="str">
        <f t="shared" si="9"/>
        <v>-</v>
      </c>
    </row>
    <row r="34" spans="1:17" ht="26.4" x14ac:dyDescent="0.3">
      <c r="A34" s="28">
        <f>MASTER_ANGGOTA!A34</f>
        <v>30</v>
      </c>
      <c r="B34" s="28" t="str">
        <f>MASTER_ANGGOTA!B34</f>
        <v>Nama Siswa 30</v>
      </c>
      <c r="C34" s="23">
        <f>IF(1&lt;=$D$2,SUMIFS(PEMBAYARAN!$E$4:$E$500,PEMBAYARAN!$A$4:$A$500,$B34,PEMBAYARAN!$B$4:$B$500,"Juni",PEMBAYARAN!$C$4:$C$500,"Minggu 1"),"")</f>
        <v>0</v>
      </c>
      <c r="D34" s="23">
        <f>IF(2&lt;=$D$2,SUMIFS(PEMBAYARAN!$E$4:$E$500,PEMBAYARAN!$A$4:$A$500,$B34,PEMBAYARAN!$B$4:$B$500,"Juni",PEMBAYARAN!$C$4:$C$500,"Minggu 2"),"")</f>
        <v>0</v>
      </c>
      <c r="E34" s="23">
        <f>IF(3&lt;=$D$2,SUMIFS(PEMBAYARAN!$E$4:$E$500,PEMBAYARAN!$A$4:$A$500,$B34,PEMBAYARAN!$B$4:$B$500,"Juni",PEMBAYARAN!$C$4:$C$500,"Minggu 3"),"")</f>
        <v>0</v>
      </c>
      <c r="F34" s="23">
        <f>IF(4&lt;=$D$2,SUMIFS(PEMBAYARAN!$E$4:$E$500,PEMBAYARAN!$A$4:$A$500,$B34,PEMBAYARAN!$B$4:$B$500,"Juni",PEMBAYARAN!$C$4:$C$500,"Minggu 4"),"")</f>
        <v>0</v>
      </c>
      <c r="G34" s="23" t="str">
        <f>IF(5&lt;=$D$2,SUMIFS(PEMBAYARAN!$E$4:$E$500,PEMBAYARAN!$A$4:$A$500,$B34,PEMBAYARAN!$B$4:$B$500,"Juni",PEMBAYARAN!$C$4:$C$500,"Minggu 5"),"")</f>
        <v/>
      </c>
      <c r="H34" s="23">
        <f t="shared" si="0"/>
        <v>20000</v>
      </c>
      <c r="I34" s="23">
        <f t="shared" si="1"/>
        <v>0</v>
      </c>
      <c r="J34" s="23">
        <f t="shared" si="2"/>
        <v>20000</v>
      </c>
      <c r="K34" s="23">
        <f t="shared" si="3"/>
        <v>0</v>
      </c>
      <c r="L34" s="29" t="str">
        <f t="shared" si="4"/>
        <v>BELUM BAYAR</v>
      </c>
      <c r="M34" s="29" t="str">
        <f t="shared" si="5"/>
        <v>BELUM BAYAR</v>
      </c>
      <c r="N34" s="29" t="str">
        <f t="shared" si="6"/>
        <v>BELUM BAYAR</v>
      </c>
      <c r="O34" s="29" t="str">
        <f t="shared" si="7"/>
        <v>BELUM BAYAR</v>
      </c>
      <c r="P34" s="29" t="str">
        <f t="shared" si="8"/>
        <v>BELUM BAYAR</v>
      </c>
      <c r="Q34" s="29" t="str">
        <f t="shared" si="9"/>
        <v>-</v>
      </c>
    </row>
    <row r="35" spans="1:17" ht="26.4" x14ac:dyDescent="0.3">
      <c r="A35" s="28">
        <f>MASTER_ANGGOTA!A35</f>
        <v>31</v>
      </c>
      <c r="B35" s="28" t="str">
        <f>MASTER_ANGGOTA!B35</f>
        <v>Nama Siswa 31</v>
      </c>
      <c r="C35" s="23">
        <f>IF(1&lt;=$D$2,SUMIFS(PEMBAYARAN!$E$4:$E$500,PEMBAYARAN!$A$4:$A$500,$B35,PEMBAYARAN!$B$4:$B$500,"Juni",PEMBAYARAN!$C$4:$C$500,"Minggu 1"),"")</f>
        <v>0</v>
      </c>
      <c r="D35" s="23">
        <f>IF(2&lt;=$D$2,SUMIFS(PEMBAYARAN!$E$4:$E$500,PEMBAYARAN!$A$4:$A$500,$B35,PEMBAYARAN!$B$4:$B$500,"Juni",PEMBAYARAN!$C$4:$C$500,"Minggu 2"),"")</f>
        <v>0</v>
      </c>
      <c r="E35" s="23">
        <f>IF(3&lt;=$D$2,SUMIFS(PEMBAYARAN!$E$4:$E$500,PEMBAYARAN!$A$4:$A$500,$B35,PEMBAYARAN!$B$4:$B$500,"Juni",PEMBAYARAN!$C$4:$C$500,"Minggu 3"),"")</f>
        <v>0</v>
      </c>
      <c r="F35" s="23">
        <f>IF(4&lt;=$D$2,SUMIFS(PEMBAYARAN!$E$4:$E$500,PEMBAYARAN!$A$4:$A$500,$B35,PEMBAYARAN!$B$4:$B$500,"Juni",PEMBAYARAN!$C$4:$C$500,"Minggu 4"),"")</f>
        <v>0</v>
      </c>
      <c r="G35" s="23" t="str">
        <f>IF(5&lt;=$D$2,SUMIFS(PEMBAYARAN!$E$4:$E$500,PEMBAYARAN!$A$4:$A$500,$B35,PEMBAYARAN!$B$4:$B$500,"Juni",PEMBAYARAN!$C$4:$C$500,"Minggu 5"),"")</f>
        <v/>
      </c>
      <c r="H35" s="23">
        <f t="shared" si="0"/>
        <v>20000</v>
      </c>
      <c r="I35" s="23">
        <f t="shared" si="1"/>
        <v>0</v>
      </c>
      <c r="J35" s="23">
        <f t="shared" si="2"/>
        <v>20000</v>
      </c>
      <c r="K35" s="23">
        <f t="shared" si="3"/>
        <v>0</v>
      </c>
      <c r="L35" s="29" t="str">
        <f t="shared" si="4"/>
        <v>BELUM BAYAR</v>
      </c>
      <c r="M35" s="29" t="str">
        <f t="shared" si="5"/>
        <v>BELUM BAYAR</v>
      </c>
      <c r="N35" s="29" t="str">
        <f t="shared" si="6"/>
        <v>BELUM BAYAR</v>
      </c>
      <c r="O35" s="29" t="str">
        <f t="shared" si="7"/>
        <v>BELUM BAYAR</v>
      </c>
      <c r="P35" s="29" t="str">
        <f t="shared" si="8"/>
        <v>BELUM BAYAR</v>
      </c>
      <c r="Q35" s="29" t="str">
        <f t="shared" si="9"/>
        <v>-</v>
      </c>
    </row>
    <row r="36" spans="1:17" ht="26.4" x14ac:dyDescent="0.3">
      <c r="A36" s="28">
        <f>MASTER_ANGGOTA!A36</f>
        <v>32</v>
      </c>
      <c r="B36" s="28" t="str">
        <f>MASTER_ANGGOTA!B36</f>
        <v>Nama Siswa 32</v>
      </c>
      <c r="C36" s="23">
        <f>IF(1&lt;=$D$2,SUMIFS(PEMBAYARAN!$E$4:$E$500,PEMBAYARAN!$A$4:$A$500,$B36,PEMBAYARAN!$B$4:$B$500,"Juni",PEMBAYARAN!$C$4:$C$500,"Minggu 1"),"")</f>
        <v>0</v>
      </c>
      <c r="D36" s="23">
        <f>IF(2&lt;=$D$2,SUMIFS(PEMBAYARAN!$E$4:$E$500,PEMBAYARAN!$A$4:$A$500,$B36,PEMBAYARAN!$B$4:$B$500,"Juni",PEMBAYARAN!$C$4:$C$500,"Minggu 2"),"")</f>
        <v>0</v>
      </c>
      <c r="E36" s="23">
        <f>IF(3&lt;=$D$2,SUMIFS(PEMBAYARAN!$E$4:$E$500,PEMBAYARAN!$A$4:$A$500,$B36,PEMBAYARAN!$B$4:$B$500,"Juni",PEMBAYARAN!$C$4:$C$500,"Minggu 3"),"")</f>
        <v>0</v>
      </c>
      <c r="F36" s="23">
        <f>IF(4&lt;=$D$2,SUMIFS(PEMBAYARAN!$E$4:$E$500,PEMBAYARAN!$A$4:$A$500,$B36,PEMBAYARAN!$B$4:$B$500,"Juni",PEMBAYARAN!$C$4:$C$500,"Minggu 4"),"")</f>
        <v>0</v>
      </c>
      <c r="G36" s="23" t="str">
        <f>IF(5&lt;=$D$2,SUMIFS(PEMBAYARAN!$E$4:$E$500,PEMBAYARAN!$A$4:$A$500,$B36,PEMBAYARAN!$B$4:$B$500,"Juni",PEMBAYARAN!$C$4:$C$500,"Minggu 5"),"")</f>
        <v/>
      </c>
      <c r="H36" s="23">
        <f t="shared" si="0"/>
        <v>20000</v>
      </c>
      <c r="I36" s="23">
        <f t="shared" si="1"/>
        <v>0</v>
      </c>
      <c r="J36" s="23">
        <f t="shared" si="2"/>
        <v>20000</v>
      </c>
      <c r="K36" s="23">
        <f t="shared" si="3"/>
        <v>0</v>
      </c>
      <c r="L36" s="29" t="str">
        <f t="shared" si="4"/>
        <v>BELUM BAYAR</v>
      </c>
      <c r="M36" s="29" t="str">
        <f t="shared" si="5"/>
        <v>BELUM BAYAR</v>
      </c>
      <c r="N36" s="29" t="str">
        <f t="shared" si="6"/>
        <v>BELUM BAYAR</v>
      </c>
      <c r="O36" s="29" t="str">
        <f t="shared" si="7"/>
        <v>BELUM BAYAR</v>
      </c>
      <c r="P36" s="29" t="str">
        <f t="shared" si="8"/>
        <v>BELUM BAYAR</v>
      </c>
      <c r="Q36" s="29" t="str">
        <f t="shared" si="9"/>
        <v>-</v>
      </c>
    </row>
    <row r="37" spans="1:17" ht="26.4" x14ac:dyDescent="0.3">
      <c r="A37" s="28">
        <f>MASTER_ANGGOTA!A37</f>
        <v>33</v>
      </c>
      <c r="B37" s="28" t="str">
        <f>MASTER_ANGGOTA!B37</f>
        <v>Nama Siswa 33</v>
      </c>
      <c r="C37" s="23">
        <f>IF(1&lt;=$D$2,SUMIFS(PEMBAYARAN!$E$4:$E$500,PEMBAYARAN!$A$4:$A$500,$B37,PEMBAYARAN!$B$4:$B$500,"Juni",PEMBAYARAN!$C$4:$C$500,"Minggu 1"),"")</f>
        <v>0</v>
      </c>
      <c r="D37" s="23">
        <f>IF(2&lt;=$D$2,SUMIFS(PEMBAYARAN!$E$4:$E$500,PEMBAYARAN!$A$4:$A$500,$B37,PEMBAYARAN!$B$4:$B$500,"Juni",PEMBAYARAN!$C$4:$C$500,"Minggu 2"),"")</f>
        <v>0</v>
      </c>
      <c r="E37" s="23">
        <f>IF(3&lt;=$D$2,SUMIFS(PEMBAYARAN!$E$4:$E$500,PEMBAYARAN!$A$4:$A$500,$B37,PEMBAYARAN!$B$4:$B$500,"Juni",PEMBAYARAN!$C$4:$C$500,"Minggu 3"),"")</f>
        <v>0</v>
      </c>
      <c r="F37" s="23">
        <f>IF(4&lt;=$D$2,SUMIFS(PEMBAYARAN!$E$4:$E$500,PEMBAYARAN!$A$4:$A$500,$B37,PEMBAYARAN!$B$4:$B$500,"Juni",PEMBAYARAN!$C$4:$C$500,"Minggu 4"),"")</f>
        <v>0</v>
      </c>
      <c r="G37" s="23" t="str">
        <f>IF(5&lt;=$D$2,SUMIFS(PEMBAYARAN!$E$4:$E$500,PEMBAYARAN!$A$4:$A$500,$B37,PEMBAYARAN!$B$4:$B$500,"Juni",PEMBAYARAN!$C$4:$C$500,"Minggu 5"),"")</f>
        <v/>
      </c>
      <c r="H37" s="23">
        <f t="shared" si="0"/>
        <v>20000</v>
      </c>
      <c r="I37" s="23">
        <f t="shared" si="1"/>
        <v>0</v>
      </c>
      <c r="J37" s="23">
        <f t="shared" si="2"/>
        <v>20000</v>
      </c>
      <c r="K37" s="23">
        <f t="shared" si="3"/>
        <v>0</v>
      </c>
      <c r="L37" s="29" t="str">
        <f t="shared" si="4"/>
        <v>BELUM BAYAR</v>
      </c>
      <c r="M37" s="29" t="str">
        <f t="shared" si="5"/>
        <v>BELUM BAYAR</v>
      </c>
      <c r="N37" s="29" t="str">
        <f t="shared" si="6"/>
        <v>BELUM BAYAR</v>
      </c>
      <c r="O37" s="29" t="str">
        <f t="shared" si="7"/>
        <v>BELUM BAYAR</v>
      </c>
      <c r="P37" s="29" t="str">
        <f t="shared" si="8"/>
        <v>BELUM BAYAR</v>
      </c>
      <c r="Q37" s="29" t="str">
        <f t="shared" si="9"/>
        <v>-</v>
      </c>
    </row>
    <row r="38" spans="1:17" ht="26.4" x14ac:dyDescent="0.3">
      <c r="A38" s="28">
        <f>MASTER_ANGGOTA!A38</f>
        <v>34</v>
      </c>
      <c r="B38" s="28" t="str">
        <f>MASTER_ANGGOTA!B38</f>
        <v>Nama Siswa 34</v>
      </c>
      <c r="C38" s="23">
        <f>IF(1&lt;=$D$2,SUMIFS(PEMBAYARAN!$E$4:$E$500,PEMBAYARAN!$A$4:$A$500,$B38,PEMBAYARAN!$B$4:$B$500,"Juni",PEMBAYARAN!$C$4:$C$500,"Minggu 1"),"")</f>
        <v>0</v>
      </c>
      <c r="D38" s="23">
        <f>IF(2&lt;=$D$2,SUMIFS(PEMBAYARAN!$E$4:$E$500,PEMBAYARAN!$A$4:$A$500,$B38,PEMBAYARAN!$B$4:$B$500,"Juni",PEMBAYARAN!$C$4:$C$500,"Minggu 2"),"")</f>
        <v>0</v>
      </c>
      <c r="E38" s="23">
        <f>IF(3&lt;=$D$2,SUMIFS(PEMBAYARAN!$E$4:$E$500,PEMBAYARAN!$A$4:$A$500,$B38,PEMBAYARAN!$B$4:$B$500,"Juni",PEMBAYARAN!$C$4:$C$500,"Minggu 3"),"")</f>
        <v>0</v>
      </c>
      <c r="F38" s="23">
        <f>IF(4&lt;=$D$2,SUMIFS(PEMBAYARAN!$E$4:$E$500,PEMBAYARAN!$A$4:$A$500,$B38,PEMBAYARAN!$B$4:$B$500,"Juni",PEMBAYARAN!$C$4:$C$500,"Minggu 4"),"")</f>
        <v>0</v>
      </c>
      <c r="G38" s="23" t="str">
        <f>IF(5&lt;=$D$2,SUMIFS(PEMBAYARAN!$E$4:$E$500,PEMBAYARAN!$A$4:$A$500,$B38,PEMBAYARAN!$B$4:$B$500,"Juni",PEMBAYARAN!$C$4:$C$500,"Minggu 5"),"")</f>
        <v/>
      </c>
      <c r="H38" s="23">
        <f t="shared" si="0"/>
        <v>20000</v>
      </c>
      <c r="I38" s="23">
        <f t="shared" si="1"/>
        <v>0</v>
      </c>
      <c r="J38" s="23">
        <f t="shared" si="2"/>
        <v>20000</v>
      </c>
      <c r="K38" s="23">
        <f t="shared" si="3"/>
        <v>0</v>
      </c>
      <c r="L38" s="29" t="str">
        <f t="shared" si="4"/>
        <v>BELUM BAYAR</v>
      </c>
      <c r="M38" s="29" t="str">
        <f t="shared" si="5"/>
        <v>BELUM BAYAR</v>
      </c>
      <c r="N38" s="29" t="str">
        <f t="shared" si="6"/>
        <v>BELUM BAYAR</v>
      </c>
      <c r="O38" s="29" t="str">
        <f t="shared" si="7"/>
        <v>BELUM BAYAR</v>
      </c>
      <c r="P38" s="29" t="str">
        <f t="shared" si="8"/>
        <v>BELUM BAYAR</v>
      </c>
      <c r="Q38" s="29" t="str">
        <f t="shared" si="9"/>
        <v>-</v>
      </c>
    </row>
    <row r="39" spans="1:17" ht="26.4" x14ac:dyDescent="0.3">
      <c r="A39" s="28">
        <f>MASTER_ANGGOTA!A39</f>
        <v>35</v>
      </c>
      <c r="B39" s="28" t="str">
        <f>MASTER_ANGGOTA!B39</f>
        <v>Nama Siswa 35</v>
      </c>
      <c r="C39" s="23">
        <f>IF(1&lt;=$D$2,SUMIFS(PEMBAYARAN!$E$4:$E$500,PEMBAYARAN!$A$4:$A$500,$B39,PEMBAYARAN!$B$4:$B$500,"Juni",PEMBAYARAN!$C$4:$C$500,"Minggu 1"),"")</f>
        <v>0</v>
      </c>
      <c r="D39" s="23">
        <f>IF(2&lt;=$D$2,SUMIFS(PEMBAYARAN!$E$4:$E$500,PEMBAYARAN!$A$4:$A$500,$B39,PEMBAYARAN!$B$4:$B$500,"Juni",PEMBAYARAN!$C$4:$C$500,"Minggu 2"),"")</f>
        <v>0</v>
      </c>
      <c r="E39" s="23">
        <f>IF(3&lt;=$D$2,SUMIFS(PEMBAYARAN!$E$4:$E$500,PEMBAYARAN!$A$4:$A$500,$B39,PEMBAYARAN!$B$4:$B$500,"Juni",PEMBAYARAN!$C$4:$C$500,"Minggu 3"),"")</f>
        <v>0</v>
      </c>
      <c r="F39" s="23">
        <f>IF(4&lt;=$D$2,SUMIFS(PEMBAYARAN!$E$4:$E$500,PEMBAYARAN!$A$4:$A$500,$B39,PEMBAYARAN!$B$4:$B$500,"Juni",PEMBAYARAN!$C$4:$C$500,"Minggu 4"),"")</f>
        <v>0</v>
      </c>
      <c r="G39" s="23" t="str">
        <f>IF(5&lt;=$D$2,SUMIFS(PEMBAYARAN!$E$4:$E$500,PEMBAYARAN!$A$4:$A$500,$B39,PEMBAYARAN!$B$4:$B$500,"Juni",PEMBAYARAN!$C$4:$C$500,"Minggu 5"),"")</f>
        <v/>
      </c>
      <c r="H39" s="23">
        <f t="shared" si="0"/>
        <v>20000</v>
      </c>
      <c r="I39" s="23">
        <f t="shared" si="1"/>
        <v>0</v>
      </c>
      <c r="J39" s="23">
        <f t="shared" si="2"/>
        <v>20000</v>
      </c>
      <c r="K39" s="23">
        <f t="shared" si="3"/>
        <v>0</v>
      </c>
      <c r="L39" s="29" t="str">
        <f t="shared" si="4"/>
        <v>BELUM BAYAR</v>
      </c>
      <c r="M39" s="29" t="str">
        <f t="shared" si="5"/>
        <v>BELUM BAYAR</v>
      </c>
      <c r="N39" s="29" t="str">
        <f t="shared" si="6"/>
        <v>BELUM BAYAR</v>
      </c>
      <c r="O39" s="29" t="str">
        <f t="shared" si="7"/>
        <v>BELUM BAYAR</v>
      </c>
      <c r="P39" s="29" t="str">
        <f t="shared" si="8"/>
        <v>BELUM BAYAR</v>
      </c>
      <c r="Q39" s="29" t="str">
        <f t="shared" si="9"/>
        <v>-</v>
      </c>
    </row>
    <row r="40" spans="1:17" ht="26.4" x14ac:dyDescent="0.3">
      <c r="A40" s="28">
        <f>MASTER_ANGGOTA!A40</f>
        <v>36</v>
      </c>
      <c r="B40" s="28" t="str">
        <f>MASTER_ANGGOTA!B40</f>
        <v>Nama Siswa 36</v>
      </c>
      <c r="C40" s="23">
        <f>IF(1&lt;=$D$2,SUMIFS(PEMBAYARAN!$E$4:$E$500,PEMBAYARAN!$A$4:$A$500,$B40,PEMBAYARAN!$B$4:$B$500,"Juni",PEMBAYARAN!$C$4:$C$500,"Minggu 1"),"")</f>
        <v>0</v>
      </c>
      <c r="D40" s="23">
        <f>IF(2&lt;=$D$2,SUMIFS(PEMBAYARAN!$E$4:$E$500,PEMBAYARAN!$A$4:$A$500,$B40,PEMBAYARAN!$B$4:$B$500,"Juni",PEMBAYARAN!$C$4:$C$500,"Minggu 2"),"")</f>
        <v>0</v>
      </c>
      <c r="E40" s="23">
        <f>IF(3&lt;=$D$2,SUMIFS(PEMBAYARAN!$E$4:$E$500,PEMBAYARAN!$A$4:$A$500,$B40,PEMBAYARAN!$B$4:$B$500,"Juni",PEMBAYARAN!$C$4:$C$500,"Minggu 3"),"")</f>
        <v>0</v>
      </c>
      <c r="F40" s="23">
        <f>IF(4&lt;=$D$2,SUMIFS(PEMBAYARAN!$E$4:$E$500,PEMBAYARAN!$A$4:$A$500,$B40,PEMBAYARAN!$B$4:$B$500,"Juni",PEMBAYARAN!$C$4:$C$500,"Minggu 4"),"")</f>
        <v>0</v>
      </c>
      <c r="G40" s="23" t="str">
        <f>IF(5&lt;=$D$2,SUMIFS(PEMBAYARAN!$E$4:$E$500,PEMBAYARAN!$A$4:$A$500,$B40,PEMBAYARAN!$B$4:$B$500,"Juni",PEMBAYARAN!$C$4:$C$500,"Minggu 5"),"")</f>
        <v/>
      </c>
      <c r="H40" s="23">
        <f t="shared" si="0"/>
        <v>20000</v>
      </c>
      <c r="I40" s="23">
        <f t="shared" si="1"/>
        <v>0</v>
      </c>
      <c r="J40" s="23">
        <f t="shared" si="2"/>
        <v>20000</v>
      </c>
      <c r="K40" s="23">
        <f t="shared" si="3"/>
        <v>0</v>
      </c>
      <c r="L40" s="29" t="str">
        <f t="shared" si="4"/>
        <v>BELUM BAYAR</v>
      </c>
      <c r="M40" s="29" t="str">
        <f t="shared" si="5"/>
        <v>BELUM BAYAR</v>
      </c>
      <c r="N40" s="29" t="str">
        <f t="shared" si="6"/>
        <v>BELUM BAYAR</v>
      </c>
      <c r="O40" s="29" t="str">
        <f t="shared" si="7"/>
        <v>BELUM BAYAR</v>
      </c>
      <c r="P40" s="29" t="str">
        <f t="shared" si="8"/>
        <v>BELUM BAYAR</v>
      </c>
      <c r="Q40" s="29" t="str">
        <f t="shared" si="9"/>
        <v>-</v>
      </c>
    </row>
    <row r="41" spans="1:17" ht="26.4" x14ac:dyDescent="0.3">
      <c r="A41" s="28">
        <f>MASTER_ANGGOTA!A41</f>
        <v>37</v>
      </c>
      <c r="B41" s="28" t="str">
        <f>MASTER_ANGGOTA!B41</f>
        <v>Nama Siswa 37</v>
      </c>
      <c r="C41" s="23">
        <f>IF(1&lt;=$D$2,SUMIFS(PEMBAYARAN!$E$4:$E$500,PEMBAYARAN!$A$4:$A$500,$B41,PEMBAYARAN!$B$4:$B$500,"Juni",PEMBAYARAN!$C$4:$C$500,"Minggu 1"),"")</f>
        <v>0</v>
      </c>
      <c r="D41" s="23">
        <f>IF(2&lt;=$D$2,SUMIFS(PEMBAYARAN!$E$4:$E$500,PEMBAYARAN!$A$4:$A$500,$B41,PEMBAYARAN!$B$4:$B$500,"Juni",PEMBAYARAN!$C$4:$C$500,"Minggu 2"),"")</f>
        <v>0</v>
      </c>
      <c r="E41" s="23">
        <f>IF(3&lt;=$D$2,SUMIFS(PEMBAYARAN!$E$4:$E$500,PEMBAYARAN!$A$4:$A$500,$B41,PEMBAYARAN!$B$4:$B$500,"Juni",PEMBAYARAN!$C$4:$C$500,"Minggu 3"),"")</f>
        <v>0</v>
      </c>
      <c r="F41" s="23">
        <f>IF(4&lt;=$D$2,SUMIFS(PEMBAYARAN!$E$4:$E$500,PEMBAYARAN!$A$4:$A$500,$B41,PEMBAYARAN!$B$4:$B$500,"Juni",PEMBAYARAN!$C$4:$C$500,"Minggu 4"),"")</f>
        <v>0</v>
      </c>
      <c r="G41" s="23" t="str">
        <f>IF(5&lt;=$D$2,SUMIFS(PEMBAYARAN!$E$4:$E$500,PEMBAYARAN!$A$4:$A$500,$B41,PEMBAYARAN!$B$4:$B$500,"Juni",PEMBAYARAN!$C$4:$C$500,"Minggu 5"),"")</f>
        <v/>
      </c>
      <c r="H41" s="23">
        <f t="shared" si="0"/>
        <v>20000</v>
      </c>
      <c r="I41" s="23">
        <f t="shared" si="1"/>
        <v>0</v>
      </c>
      <c r="J41" s="23">
        <f t="shared" si="2"/>
        <v>20000</v>
      </c>
      <c r="K41" s="23">
        <f t="shared" si="3"/>
        <v>0</v>
      </c>
      <c r="L41" s="29" t="str">
        <f t="shared" si="4"/>
        <v>BELUM BAYAR</v>
      </c>
      <c r="M41" s="29" t="str">
        <f t="shared" si="5"/>
        <v>BELUM BAYAR</v>
      </c>
      <c r="N41" s="29" t="str">
        <f t="shared" si="6"/>
        <v>BELUM BAYAR</v>
      </c>
      <c r="O41" s="29" t="str">
        <f t="shared" si="7"/>
        <v>BELUM BAYAR</v>
      </c>
      <c r="P41" s="29" t="str">
        <f t="shared" si="8"/>
        <v>BELUM BAYAR</v>
      </c>
      <c r="Q41" s="29" t="str">
        <f t="shared" si="9"/>
        <v>-</v>
      </c>
    </row>
    <row r="42" spans="1:17" ht="26.4" x14ac:dyDescent="0.3">
      <c r="A42" s="28">
        <f>MASTER_ANGGOTA!A42</f>
        <v>38</v>
      </c>
      <c r="B42" s="28" t="str">
        <f>MASTER_ANGGOTA!B42</f>
        <v>Nama Siswa 38</v>
      </c>
      <c r="C42" s="23">
        <f>IF(1&lt;=$D$2,SUMIFS(PEMBAYARAN!$E$4:$E$500,PEMBAYARAN!$A$4:$A$500,$B42,PEMBAYARAN!$B$4:$B$500,"Juni",PEMBAYARAN!$C$4:$C$500,"Minggu 1"),"")</f>
        <v>0</v>
      </c>
      <c r="D42" s="23">
        <f>IF(2&lt;=$D$2,SUMIFS(PEMBAYARAN!$E$4:$E$500,PEMBAYARAN!$A$4:$A$500,$B42,PEMBAYARAN!$B$4:$B$500,"Juni",PEMBAYARAN!$C$4:$C$500,"Minggu 2"),"")</f>
        <v>0</v>
      </c>
      <c r="E42" s="23">
        <f>IF(3&lt;=$D$2,SUMIFS(PEMBAYARAN!$E$4:$E$500,PEMBAYARAN!$A$4:$A$500,$B42,PEMBAYARAN!$B$4:$B$500,"Juni",PEMBAYARAN!$C$4:$C$500,"Minggu 3"),"")</f>
        <v>0</v>
      </c>
      <c r="F42" s="23">
        <f>IF(4&lt;=$D$2,SUMIFS(PEMBAYARAN!$E$4:$E$500,PEMBAYARAN!$A$4:$A$500,$B42,PEMBAYARAN!$B$4:$B$500,"Juni",PEMBAYARAN!$C$4:$C$500,"Minggu 4"),"")</f>
        <v>0</v>
      </c>
      <c r="G42" s="23" t="str">
        <f>IF(5&lt;=$D$2,SUMIFS(PEMBAYARAN!$E$4:$E$500,PEMBAYARAN!$A$4:$A$500,$B42,PEMBAYARAN!$B$4:$B$500,"Juni",PEMBAYARAN!$C$4:$C$500,"Minggu 5"),"")</f>
        <v/>
      </c>
      <c r="H42" s="23">
        <f t="shared" si="0"/>
        <v>20000</v>
      </c>
      <c r="I42" s="23">
        <f t="shared" si="1"/>
        <v>0</v>
      </c>
      <c r="J42" s="23">
        <f t="shared" si="2"/>
        <v>20000</v>
      </c>
      <c r="K42" s="23">
        <f t="shared" si="3"/>
        <v>0</v>
      </c>
      <c r="L42" s="29" t="str">
        <f t="shared" si="4"/>
        <v>BELUM BAYAR</v>
      </c>
      <c r="M42" s="29" t="str">
        <f t="shared" si="5"/>
        <v>BELUM BAYAR</v>
      </c>
      <c r="N42" s="29" t="str">
        <f t="shared" si="6"/>
        <v>BELUM BAYAR</v>
      </c>
      <c r="O42" s="29" t="str">
        <f t="shared" si="7"/>
        <v>BELUM BAYAR</v>
      </c>
      <c r="P42" s="29" t="str">
        <f t="shared" si="8"/>
        <v>BELUM BAYAR</v>
      </c>
      <c r="Q42" s="29" t="str">
        <f t="shared" si="9"/>
        <v>-</v>
      </c>
    </row>
    <row r="43" spans="1:17" ht="26.4" x14ac:dyDescent="0.3">
      <c r="A43" s="28">
        <f>MASTER_ANGGOTA!A43</f>
        <v>39</v>
      </c>
      <c r="B43" s="28" t="str">
        <f>MASTER_ANGGOTA!B43</f>
        <v>Nama Siswa 39</v>
      </c>
      <c r="C43" s="23">
        <f>IF(1&lt;=$D$2,SUMIFS(PEMBAYARAN!$E$4:$E$500,PEMBAYARAN!$A$4:$A$500,$B43,PEMBAYARAN!$B$4:$B$500,"Juni",PEMBAYARAN!$C$4:$C$500,"Minggu 1"),"")</f>
        <v>0</v>
      </c>
      <c r="D43" s="23">
        <f>IF(2&lt;=$D$2,SUMIFS(PEMBAYARAN!$E$4:$E$500,PEMBAYARAN!$A$4:$A$500,$B43,PEMBAYARAN!$B$4:$B$500,"Juni",PEMBAYARAN!$C$4:$C$500,"Minggu 2"),"")</f>
        <v>0</v>
      </c>
      <c r="E43" s="23">
        <f>IF(3&lt;=$D$2,SUMIFS(PEMBAYARAN!$E$4:$E$500,PEMBAYARAN!$A$4:$A$500,$B43,PEMBAYARAN!$B$4:$B$500,"Juni",PEMBAYARAN!$C$4:$C$500,"Minggu 3"),"")</f>
        <v>0</v>
      </c>
      <c r="F43" s="23">
        <f>IF(4&lt;=$D$2,SUMIFS(PEMBAYARAN!$E$4:$E$500,PEMBAYARAN!$A$4:$A$500,$B43,PEMBAYARAN!$B$4:$B$500,"Juni",PEMBAYARAN!$C$4:$C$500,"Minggu 4"),"")</f>
        <v>0</v>
      </c>
      <c r="G43" s="23" t="str">
        <f>IF(5&lt;=$D$2,SUMIFS(PEMBAYARAN!$E$4:$E$500,PEMBAYARAN!$A$4:$A$500,$B43,PEMBAYARAN!$B$4:$B$500,"Juni",PEMBAYARAN!$C$4:$C$500,"Minggu 5"),"")</f>
        <v/>
      </c>
      <c r="H43" s="23">
        <f t="shared" si="0"/>
        <v>20000</v>
      </c>
      <c r="I43" s="23">
        <f t="shared" si="1"/>
        <v>0</v>
      </c>
      <c r="J43" s="23">
        <f t="shared" si="2"/>
        <v>20000</v>
      </c>
      <c r="K43" s="23">
        <f t="shared" si="3"/>
        <v>0</v>
      </c>
      <c r="L43" s="29" t="str">
        <f t="shared" si="4"/>
        <v>BELUM BAYAR</v>
      </c>
      <c r="M43" s="29" t="str">
        <f t="shared" si="5"/>
        <v>BELUM BAYAR</v>
      </c>
      <c r="N43" s="29" t="str">
        <f t="shared" si="6"/>
        <v>BELUM BAYAR</v>
      </c>
      <c r="O43" s="29" t="str">
        <f t="shared" si="7"/>
        <v>BELUM BAYAR</v>
      </c>
      <c r="P43" s="29" t="str">
        <f t="shared" si="8"/>
        <v>BELUM BAYAR</v>
      </c>
      <c r="Q43" s="29" t="str">
        <f t="shared" si="9"/>
        <v>-</v>
      </c>
    </row>
    <row r="44" spans="1:17" ht="26.4" x14ac:dyDescent="0.3">
      <c r="A44" s="28">
        <f>MASTER_ANGGOTA!A44</f>
        <v>40</v>
      </c>
      <c r="B44" s="28" t="str">
        <f>MASTER_ANGGOTA!B44</f>
        <v>Nama Siswa 40</v>
      </c>
      <c r="C44" s="23">
        <f>IF(1&lt;=$D$2,SUMIFS(PEMBAYARAN!$E$4:$E$500,PEMBAYARAN!$A$4:$A$500,$B44,PEMBAYARAN!$B$4:$B$500,"Juni",PEMBAYARAN!$C$4:$C$500,"Minggu 1"),"")</f>
        <v>0</v>
      </c>
      <c r="D44" s="23">
        <f>IF(2&lt;=$D$2,SUMIFS(PEMBAYARAN!$E$4:$E$500,PEMBAYARAN!$A$4:$A$500,$B44,PEMBAYARAN!$B$4:$B$500,"Juni",PEMBAYARAN!$C$4:$C$500,"Minggu 2"),"")</f>
        <v>0</v>
      </c>
      <c r="E44" s="23">
        <f>IF(3&lt;=$D$2,SUMIFS(PEMBAYARAN!$E$4:$E$500,PEMBAYARAN!$A$4:$A$500,$B44,PEMBAYARAN!$B$4:$B$500,"Juni",PEMBAYARAN!$C$4:$C$500,"Minggu 3"),"")</f>
        <v>0</v>
      </c>
      <c r="F44" s="23">
        <f>IF(4&lt;=$D$2,SUMIFS(PEMBAYARAN!$E$4:$E$500,PEMBAYARAN!$A$4:$A$500,$B44,PEMBAYARAN!$B$4:$B$500,"Juni",PEMBAYARAN!$C$4:$C$500,"Minggu 4"),"")</f>
        <v>0</v>
      </c>
      <c r="G44" s="23" t="str">
        <f>IF(5&lt;=$D$2,SUMIFS(PEMBAYARAN!$E$4:$E$500,PEMBAYARAN!$A$4:$A$500,$B44,PEMBAYARAN!$B$4:$B$500,"Juni",PEMBAYARAN!$C$4:$C$500,"Minggu 5"),"")</f>
        <v/>
      </c>
      <c r="H44" s="23">
        <f t="shared" si="0"/>
        <v>20000</v>
      </c>
      <c r="I44" s="23">
        <f t="shared" si="1"/>
        <v>0</v>
      </c>
      <c r="J44" s="23">
        <f t="shared" si="2"/>
        <v>20000</v>
      </c>
      <c r="K44" s="23">
        <f t="shared" si="3"/>
        <v>0</v>
      </c>
      <c r="L44" s="29" t="str">
        <f t="shared" si="4"/>
        <v>BELUM BAYAR</v>
      </c>
      <c r="M44" s="29" t="str">
        <f t="shared" si="5"/>
        <v>BELUM BAYAR</v>
      </c>
      <c r="N44" s="29" t="str">
        <f t="shared" si="6"/>
        <v>BELUM BAYAR</v>
      </c>
      <c r="O44" s="29" t="str">
        <f t="shared" si="7"/>
        <v>BELUM BAYAR</v>
      </c>
      <c r="P44" s="29" t="str">
        <f t="shared" si="8"/>
        <v>BELUM BAYAR</v>
      </c>
      <c r="Q44" s="29" t="str">
        <f t="shared" si="9"/>
        <v>-</v>
      </c>
    </row>
    <row r="45" spans="1:17" ht="26.4" x14ac:dyDescent="0.3">
      <c r="A45" s="28">
        <f>MASTER_ANGGOTA!A45</f>
        <v>41</v>
      </c>
      <c r="B45" s="28" t="str">
        <f>MASTER_ANGGOTA!B45</f>
        <v>Nama Siswa 41</v>
      </c>
      <c r="C45" s="23">
        <f>IF(1&lt;=$D$2,SUMIFS(PEMBAYARAN!$E$4:$E$500,PEMBAYARAN!$A$4:$A$500,$B45,PEMBAYARAN!$B$4:$B$500,"Juni",PEMBAYARAN!$C$4:$C$500,"Minggu 1"),"")</f>
        <v>0</v>
      </c>
      <c r="D45" s="23">
        <f>IF(2&lt;=$D$2,SUMIFS(PEMBAYARAN!$E$4:$E$500,PEMBAYARAN!$A$4:$A$500,$B45,PEMBAYARAN!$B$4:$B$500,"Juni",PEMBAYARAN!$C$4:$C$500,"Minggu 2"),"")</f>
        <v>0</v>
      </c>
      <c r="E45" s="23">
        <f>IF(3&lt;=$D$2,SUMIFS(PEMBAYARAN!$E$4:$E$500,PEMBAYARAN!$A$4:$A$500,$B45,PEMBAYARAN!$B$4:$B$500,"Juni",PEMBAYARAN!$C$4:$C$500,"Minggu 3"),"")</f>
        <v>0</v>
      </c>
      <c r="F45" s="23">
        <f>IF(4&lt;=$D$2,SUMIFS(PEMBAYARAN!$E$4:$E$500,PEMBAYARAN!$A$4:$A$500,$B45,PEMBAYARAN!$B$4:$B$500,"Juni",PEMBAYARAN!$C$4:$C$500,"Minggu 4"),"")</f>
        <v>0</v>
      </c>
      <c r="G45" s="23" t="str">
        <f>IF(5&lt;=$D$2,SUMIFS(PEMBAYARAN!$E$4:$E$500,PEMBAYARAN!$A$4:$A$500,$B45,PEMBAYARAN!$B$4:$B$500,"Juni",PEMBAYARAN!$C$4:$C$500,"Minggu 5"),"")</f>
        <v/>
      </c>
      <c r="H45" s="23">
        <f t="shared" si="0"/>
        <v>20000</v>
      </c>
      <c r="I45" s="23">
        <f t="shared" si="1"/>
        <v>0</v>
      </c>
      <c r="J45" s="23">
        <f t="shared" si="2"/>
        <v>20000</v>
      </c>
      <c r="K45" s="23">
        <f t="shared" si="3"/>
        <v>0</v>
      </c>
      <c r="L45" s="29" t="str">
        <f t="shared" si="4"/>
        <v>BELUM BAYAR</v>
      </c>
      <c r="M45" s="29" t="str">
        <f t="shared" si="5"/>
        <v>BELUM BAYAR</v>
      </c>
      <c r="N45" s="29" t="str">
        <f t="shared" si="6"/>
        <v>BELUM BAYAR</v>
      </c>
      <c r="O45" s="29" t="str">
        <f t="shared" si="7"/>
        <v>BELUM BAYAR</v>
      </c>
      <c r="P45" s="29" t="str">
        <f t="shared" si="8"/>
        <v>BELUM BAYAR</v>
      </c>
      <c r="Q45" s="29" t="str">
        <f t="shared" si="9"/>
        <v>-</v>
      </c>
    </row>
    <row r="47" spans="1:17" x14ac:dyDescent="0.3">
      <c r="A47" s="30"/>
      <c r="B47" s="31" t="s">
        <v>159</v>
      </c>
      <c r="C47" s="30"/>
      <c r="D47" s="30"/>
      <c r="E47" s="30"/>
      <c r="F47" s="30"/>
      <c r="G47" s="30"/>
      <c r="H47" s="31">
        <f>SUM(H5:H45)</f>
        <v>820000</v>
      </c>
      <c r="I47" s="31">
        <f>SUM(I5:I45)</f>
        <v>0</v>
      </c>
      <c r="J47" s="31">
        <f>SUM(J5:J45)</f>
        <v>820000</v>
      </c>
      <c r="K47" s="31">
        <f>SUM(K5:K45)</f>
        <v>0</v>
      </c>
      <c r="L47" s="30"/>
    </row>
    <row r="48" spans="1:17" x14ac:dyDescent="0.3">
      <c r="B48" s="16" t="s">
        <v>160</v>
      </c>
      <c r="D48" s="15">
        <f>COUNTIF(L5:L45,"LUNAS")+COUNTIF(L5:L45,"LUNAS (LEBIH)")</f>
        <v>0</v>
      </c>
    </row>
    <row r="49" spans="2:4" x14ac:dyDescent="0.3">
      <c r="B49" s="16" t="s">
        <v>161</v>
      </c>
      <c r="D49" s="15">
        <f>COUNTIF(L5:L45,"CICILAN")</f>
        <v>0</v>
      </c>
    </row>
    <row r="50" spans="2:4" x14ac:dyDescent="0.3">
      <c r="B50" s="16" t="s">
        <v>162</v>
      </c>
      <c r="D50" s="15">
        <f>COUNTIF(L5:L45,"BELUM BAYAR")</f>
        <v>41</v>
      </c>
    </row>
  </sheetData>
  <autoFilter ref="A4:Q45" xr:uid="{00000000-0009-0000-0000-00000E000000}"/>
  <mergeCells count="2">
    <mergeCell ref="A1:L1"/>
    <mergeCell ref="A2:C2"/>
  </mergeCells>
  <conditionalFormatting sqref="L5:L45">
    <cfRule type="expression" dxfId="5" priority="2">
      <formula>LEFT(L5,5)="LUNAS"</formula>
    </cfRule>
    <cfRule type="cellIs" dxfId="4" priority="3" operator="equal">
      <formula>"CICILAN"</formula>
    </cfRule>
    <cfRule type="cellIs" dxfId="3" priority="4" operator="equal">
      <formula>"BELUM BAYAR"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62828"/>
  </sheetPr>
  <dimension ref="A1:N30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12" customWidth="1"/>
    <col min="3" max="4" width="16" customWidth="1"/>
    <col min="5" max="5" width="30" customWidth="1"/>
    <col min="6" max="6" width="16" customWidth="1"/>
    <col min="7" max="8" width="14" customWidth="1"/>
    <col min="9" max="9" width="10" customWidth="1"/>
    <col min="10" max="10" width="12" customWidth="1"/>
    <col min="11" max="11" width="16" customWidth="1"/>
    <col min="12" max="12" width="22" customWidth="1"/>
    <col min="14" max="14" width="14" customWidth="1"/>
  </cols>
  <sheetData>
    <row r="1" spans="1:14" ht="27.75" customHeight="1" x14ac:dyDescent="0.3">
      <c r="A1" s="14" t="s">
        <v>172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x14ac:dyDescent="0.3">
      <c r="A2" s="18" t="s">
        <v>173</v>
      </c>
    </row>
    <row r="3" spans="1:14" ht="26.4" x14ac:dyDescent="0.3">
      <c r="A3" s="19" t="s">
        <v>34</v>
      </c>
      <c r="B3" s="19" t="s">
        <v>127</v>
      </c>
      <c r="C3" s="19" t="s">
        <v>82</v>
      </c>
      <c r="D3" s="19" t="s">
        <v>83</v>
      </c>
      <c r="E3" s="19" t="s">
        <v>174</v>
      </c>
      <c r="F3" s="19" t="s">
        <v>175</v>
      </c>
      <c r="G3" s="19" t="s">
        <v>176</v>
      </c>
      <c r="H3" s="19" t="s">
        <v>177</v>
      </c>
      <c r="I3" s="19" t="s">
        <v>178</v>
      </c>
      <c r="J3" s="19" t="s">
        <v>179</v>
      </c>
      <c r="K3" s="19" t="s">
        <v>180</v>
      </c>
      <c r="L3" s="19" t="s">
        <v>130</v>
      </c>
      <c r="M3" s="19"/>
      <c r="N3" s="19" t="s">
        <v>181</v>
      </c>
    </row>
    <row r="4" spans="1:14" x14ac:dyDescent="0.3">
      <c r="A4" s="32">
        <v>1</v>
      </c>
      <c r="B4" s="24">
        <v>46270</v>
      </c>
      <c r="C4" s="21" t="s">
        <v>88</v>
      </c>
      <c r="D4" s="21" t="s">
        <v>99</v>
      </c>
      <c r="E4" s="21" t="s">
        <v>182</v>
      </c>
      <c r="F4" s="21" t="s">
        <v>183</v>
      </c>
      <c r="G4" s="21">
        <v>20000</v>
      </c>
      <c r="H4" s="21" t="s">
        <v>134</v>
      </c>
      <c r="I4" s="21" t="s">
        <v>184</v>
      </c>
      <c r="J4" s="21" t="s">
        <v>185</v>
      </c>
      <c r="K4" s="21" t="s">
        <v>186</v>
      </c>
      <c r="L4" s="21" t="s">
        <v>187</v>
      </c>
      <c r="N4" s="15" t="str">
        <f t="shared" ref="N4:N67" si="0">IF(B4="","",CHOOSE(MONTH(B4),"Januari","Februari","Maret","April","Mei","Juni","Juli","Agustus","September","Oktober","November","Desember"))</f>
        <v>September</v>
      </c>
    </row>
    <row r="5" spans="1:14" x14ac:dyDescent="0.3">
      <c r="A5" s="32">
        <v>2</v>
      </c>
      <c r="B5" s="24">
        <v>46272</v>
      </c>
      <c r="C5" s="21" t="s">
        <v>88</v>
      </c>
      <c r="D5" s="21" t="s">
        <v>97</v>
      </c>
      <c r="E5" s="21" t="s">
        <v>188</v>
      </c>
      <c r="F5" s="21" t="s">
        <v>183</v>
      </c>
      <c r="G5" s="21">
        <v>15000</v>
      </c>
      <c r="H5" s="21" t="s">
        <v>134</v>
      </c>
      <c r="I5" s="21" t="s">
        <v>184</v>
      </c>
      <c r="J5" s="21" t="s">
        <v>189</v>
      </c>
      <c r="K5" s="21" t="s">
        <v>186</v>
      </c>
      <c r="L5" s="21" t="s">
        <v>187</v>
      </c>
      <c r="N5" s="15" t="str">
        <f t="shared" si="0"/>
        <v>September</v>
      </c>
    </row>
    <row r="6" spans="1:14" x14ac:dyDescent="0.3">
      <c r="A6" s="32">
        <v>3</v>
      </c>
      <c r="B6" s="24">
        <v>46275</v>
      </c>
      <c r="C6" s="21" t="s">
        <v>94</v>
      </c>
      <c r="D6" s="21" t="s">
        <v>116</v>
      </c>
      <c r="E6" s="21" t="s">
        <v>190</v>
      </c>
      <c r="F6" s="21" t="s">
        <v>191</v>
      </c>
      <c r="G6" s="21">
        <v>50000</v>
      </c>
      <c r="H6" s="21" t="s">
        <v>134</v>
      </c>
      <c r="I6" s="21" t="s">
        <v>184</v>
      </c>
      <c r="J6" s="21" t="s">
        <v>192</v>
      </c>
      <c r="K6" s="21" t="s">
        <v>193</v>
      </c>
      <c r="L6" s="21" t="s">
        <v>187</v>
      </c>
      <c r="N6" s="15" t="str">
        <f t="shared" si="0"/>
        <v>September</v>
      </c>
    </row>
    <row r="7" spans="1:14" x14ac:dyDescent="0.3">
      <c r="A7" s="32">
        <v>4</v>
      </c>
      <c r="B7" s="24">
        <v>46279</v>
      </c>
      <c r="C7" s="21" t="s">
        <v>88</v>
      </c>
      <c r="D7" s="21" t="s">
        <v>101</v>
      </c>
      <c r="E7" s="21" t="s">
        <v>194</v>
      </c>
      <c r="F7" s="21" t="s">
        <v>195</v>
      </c>
      <c r="G7" s="21">
        <v>30000</v>
      </c>
      <c r="H7" s="21" t="s">
        <v>139</v>
      </c>
      <c r="I7" s="21" t="s">
        <v>184</v>
      </c>
      <c r="J7" s="21" t="s">
        <v>196</v>
      </c>
      <c r="K7" s="21" t="s">
        <v>186</v>
      </c>
      <c r="L7" s="21" t="s">
        <v>187</v>
      </c>
      <c r="N7" s="15" t="str">
        <f t="shared" si="0"/>
        <v>September</v>
      </c>
    </row>
    <row r="8" spans="1:14" x14ac:dyDescent="0.3">
      <c r="A8" s="32">
        <v>5</v>
      </c>
      <c r="B8" s="24">
        <v>46283</v>
      </c>
      <c r="C8" s="21" t="s">
        <v>96</v>
      </c>
      <c r="D8" s="21" t="s">
        <v>117</v>
      </c>
      <c r="E8" s="21" t="s">
        <v>197</v>
      </c>
      <c r="F8" s="21" t="s">
        <v>198</v>
      </c>
      <c r="G8" s="21">
        <v>10000</v>
      </c>
      <c r="H8" s="21" t="s">
        <v>134</v>
      </c>
      <c r="I8" s="21" t="s">
        <v>184</v>
      </c>
      <c r="J8" s="21" t="s">
        <v>199</v>
      </c>
      <c r="K8" s="21" t="s">
        <v>200</v>
      </c>
      <c r="L8" s="21" t="s">
        <v>187</v>
      </c>
      <c r="N8" s="15" t="str">
        <f t="shared" si="0"/>
        <v>September</v>
      </c>
    </row>
    <row r="9" spans="1:14" x14ac:dyDescent="0.3">
      <c r="A9" s="33" t="str">
        <f t="shared" ref="A9:A72" si="1">IF(B9="","",ROW()-3)</f>
        <v/>
      </c>
      <c r="B9" s="26"/>
      <c r="C9" s="25"/>
      <c r="D9" s="25"/>
      <c r="E9" s="25"/>
      <c r="F9" s="25"/>
      <c r="G9" s="25"/>
      <c r="H9" s="25"/>
      <c r="I9" s="25"/>
      <c r="J9" s="25"/>
      <c r="K9" s="25"/>
      <c r="L9" s="25"/>
      <c r="N9" s="15" t="str">
        <f t="shared" si="0"/>
        <v/>
      </c>
    </row>
    <row r="10" spans="1:14" x14ac:dyDescent="0.3">
      <c r="A10" s="33" t="str">
        <f t="shared" si="1"/>
        <v/>
      </c>
      <c r="B10" s="26"/>
      <c r="C10" s="25"/>
      <c r="D10" s="25"/>
      <c r="E10" s="25"/>
      <c r="F10" s="25"/>
      <c r="G10" s="25"/>
      <c r="H10" s="25"/>
      <c r="I10" s="25"/>
      <c r="J10" s="25"/>
      <c r="K10" s="25"/>
      <c r="L10" s="25"/>
      <c r="N10" s="15" t="str">
        <f t="shared" si="0"/>
        <v/>
      </c>
    </row>
    <row r="11" spans="1:14" x14ac:dyDescent="0.3">
      <c r="A11" s="33" t="str">
        <f t="shared" si="1"/>
        <v/>
      </c>
      <c r="B11" s="26"/>
      <c r="C11" s="25"/>
      <c r="D11" s="25"/>
      <c r="E11" s="25"/>
      <c r="F11" s="25"/>
      <c r="G11" s="25"/>
      <c r="H11" s="25"/>
      <c r="I11" s="25"/>
      <c r="J11" s="25"/>
      <c r="K11" s="25"/>
      <c r="L11" s="25"/>
      <c r="N11" s="15" t="str">
        <f t="shared" si="0"/>
        <v/>
      </c>
    </row>
    <row r="12" spans="1:14" x14ac:dyDescent="0.3">
      <c r="A12" s="33" t="str">
        <f t="shared" si="1"/>
        <v/>
      </c>
      <c r="B12" s="26"/>
      <c r="C12" s="25"/>
      <c r="D12" s="25"/>
      <c r="E12" s="25"/>
      <c r="F12" s="25"/>
      <c r="G12" s="25"/>
      <c r="H12" s="25"/>
      <c r="I12" s="25"/>
      <c r="J12" s="25"/>
      <c r="K12" s="25"/>
      <c r="L12" s="25"/>
      <c r="N12" s="15" t="str">
        <f t="shared" si="0"/>
        <v/>
      </c>
    </row>
    <row r="13" spans="1:14" x14ac:dyDescent="0.3">
      <c r="A13" s="33" t="str">
        <f t="shared" si="1"/>
        <v/>
      </c>
      <c r="B13" s="26"/>
      <c r="C13" s="25"/>
      <c r="D13" s="25"/>
      <c r="E13" s="25"/>
      <c r="F13" s="25"/>
      <c r="G13" s="25"/>
      <c r="H13" s="25"/>
      <c r="I13" s="25"/>
      <c r="J13" s="25"/>
      <c r="K13" s="25"/>
      <c r="L13" s="25"/>
      <c r="N13" s="15" t="str">
        <f t="shared" si="0"/>
        <v/>
      </c>
    </row>
    <row r="14" spans="1:14" x14ac:dyDescent="0.3">
      <c r="A14" s="33" t="str">
        <f t="shared" si="1"/>
        <v/>
      </c>
      <c r="B14" s="26"/>
      <c r="C14" s="25"/>
      <c r="D14" s="25"/>
      <c r="E14" s="25"/>
      <c r="F14" s="25"/>
      <c r="G14" s="25"/>
      <c r="H14" s="25"/>
      <c r="I14" s="25"/>
      <c r="J14" s="25"/>
      <c r="K14" s="25"/>
      <c r="L14" s="25"/>
      <c r="N14" s="15" t="str">
        <f t="shared" si="0"/>
        <v/>
      </c>
    </row>
    <row r="15" spans="1:14" x14ac:dyDescent="0.3">
      <c r="A15" s="33" t="str">
        <f t="shared" si="1"/>
        <v/>
      </c>
      <c r="B15" s="26"/>
      <c r="C15" s="25"/>
      <c r="D15" s="25"/>
      <c r="E15" s="25"/>
      <c r="F15" s="25"/>
      <c r="G15" s="25"/>
      <c r="H15" s="25"/>
      <c r="I15" s="25"/>
      <c r="J15" s="25"/>
      <c r="K15" s="25"/>
      <c r="L15" s="25"/>
      <c r="N15" s="15" t="str">
        <f t="shared" si="0"/>
        <v/>
      </c>
    </row>
    <row r="16" spans="1:14" x14ac:dyDescent="0.3">
      <c r="A16" s="33" t="str">
        <f t="shared" si="1"/>
        <v/>
      </c>
      <c r="B16" s="26"/>
      <c r="C16" s="25"/>
      <c r="D16" s="25"/>
      <c r="E16" s="25"/>
      <c r="F16" s="25"/>
      <c r="G16" s="25"/>
      <c r="H16" s="25"/>
      <c r="I16" s="25"/>
      <c r="J16" s="25"/>
      <c r="K16" s="25"/>
      <c r="L16" s="25"/>
      <c r="N16" s="15" t="str">
        <f t="shared" si="0"/>
        <v/>
      </c>
    </row>
    <row r="17" spans="1:14" x14ac:dyDescent="0.3">
      <c r="A17" s="33" t="str">
        <f t="shared" si="1"/>
        <v/>
      </c>
      <c r="B17" s="26"/>
      <c r="C17" s="25"/>
      <c r="D17" s="25"/>
      <c r="E17" s="25"/>
      <c r="F17" s="25"/>
      <c r="G17" s="25"/>
      <c r="H17" s="25"/>
      <c r="I17" s="25"/>
      <c r="J17" s="25"/>
      <c r="K17" s="25"/>
      <c r="L17" s="25"/>
      <c r="N17" s="15" t="str">
        <f t="shared" si="0"/>
        <v/>
      </c>
    </row>
    <row r="18" spans="1:14" x14ac:dyDescent="0.3">
      <c r="A18" s="33" t="str">
        <f t="shared" si="1"/>
        <v/>
      </c>
      <c r="B18" s="26"/>
      <c r="C18" s="25"/>
      <c r="D18" s="25"/>
      <c r="E18" s="25"/>
      <c r="F18" s="25"/>
      <c r="G18" s="25"/>
      <c r="H18" s="25"/>
      <c r="I18" s="25"/>
      <c r="J18" s="25"/>
      <c r="K18" s="25"/>
      <c r="L18" s="25"/>
      <c r="N18" s="15" t="str">
        <f t="shared" si="0"/>
        <v/>
      </c>
    </row>
    <row r="19" spans="1:14" x14ac:dyDescent="0.3">
      <c r="A19" s="33" t="str">
        <f t="shared" si="1"/>
        <v/>
      </c>
      <c r="B19" s="26"/>
      <c r="C19" s="25"/>
      <c r="D19" s="25"/>
      <c r="E19" s="25"/>
      <c r="F19" s="25"/>
      <c r="G19" s="25"/>
      <c r="H19" s="25"/>
      <c r="I19" s="25"/>
      <c r="J19" s="25"/>
      <c r="K19" s="25"/>
      <c r="L19" s="25"/>
      <c r="N19" s="15" t="str">
        <f t="shared" si="0"/>
        <v/>
      </c>
    </row>
    <row r="20" spans="1:14" x14ac:dyDescent="0.3">
      <c r="A20" s="33" t="str">
        <f t="shared" si="1"/>
        <v/>
      </c>
      <c r="B20" s="26"/>
      <c r="C20" s="25"/>
      <c r="D20" s="25"/>
      <c r="E20" s="25"/>
      <c r="F20" s="25"/>
      <c r="G20" s="25"/>
      <c r="H20" s="25"/>
      <c r="I20" s="25"/>
      <c r="J20" s="25"/>
      <c r="K20" s="25"/>
      <c r="L20" s="25"/>
      <c r="N20" s="15" t="str">
        <f t="shared" si="0"/>
        <v/>
      </c>
    </row>
    <row r="21" spans="1:14" x14ac:dyDescent="0.3">
      <c r="A21" s="33" t="str">
        <f t="shared" si="1"/>
        <v/>
      </c>
      <c r="B21" s="26"/>
      <c r="C21" s="25"/>
      <c r="D21" s="25"/>
      <c r="E21" s="25"/>
      <c r="F21" s="25"/>
      <c r="G21" s="25"/>
      <c r="H21" s="25"/>
      <c r="I21" s="25"/>
      <c r="J21" s="25"/>
      <c r="K21" s="25"/>
      <c r="L21" s="25"/>
      <c r="N21" s="15" t="str">
        <f t="shared" si="0"/>
        <v/>
      </c>
    </row>
    <row r="22" spans="1:14" x14ac:dyDescent="0.3">
      <c r="A22" s="33" t="str">
        <f t="shared" si="1"/>
        <v/>
      </c>
      <c r="B22" s="26"/>
      <c r="C22" s="25"/>
      <c r="D22" s="25"/>
      <c r="E22" s="25"/>
      <c r="F22" s="25"/>
      <c r="G22" s="25"/>
      <c r="H22" s="25"/>
      <c r="I22" s="25"/>
      <c r="J22" s="25"/>
      <c r="K22" s="25"/>
      <c r="L22" s="25"/>
      <c r="N22" s="15" t="str">
        <f t="shared" si="0"/>
        <v/>
      </c>
    </row>
    <row r="23" spans="1:14" x14ac:dyDescent="0.3">
      <c r="A23" s="33" t="str">
        <f t="shared" si="1"/>
        <v/>
      </c>
      <c r="B23" s="26"/>
      <c r="C23" s="25"/>
      <c r="D23" s="25"/>
      <c r="E23" s="25"/>
      <c r="F23" s="25"/>
      <c r="G23" s="25"/>
      <c r="H23" s="25"/>
      <c r="I23" s="25"/>
      <c r="J23" s="25"/>
      <c r="K23" s="25"/>
      <c r="L23" s="25"/>
      <c r="N23" s="15" t="str">
        <f t="shared" si="0"/>
        <v/>
      </c>
    </row>
    <row r="24" spans="1:14" x14ac:dyDescent="0.3">
      <c r="A24" s="33" t="str">
        <f t="shared" si="1"/>
        <v/>
      </c>
      <c r="B24" s="26"/>
      <c r="C24" s="25"/>
      <c r="D24" s="25"/>
      <c r="E24" s="25"/>
      <c r="F24" s="25"/>
      <c r="G24" s="25"/>
      <c r="H24" s="25"/>
      <c r="I24" s="25"/>
      <c r="J24" s="25"/>
      <c r="K24" s="25"/>
      <c r="L24" s="25"/>
      <c r="N24" s="15" t="str">
        <f t="shared" si="0"/>
        <v/>
      </c>
    </row>
    <row r="25" spans="1:14" x14ac:dyDescent="0.3">
      <c r="A25" s="33" t="str">
        <f t="shared" si="1"/>
        <v/>
      </c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N25" s="15" t="str">
        <f t="shared" si="0"/>
        <v/>
      </c>
    </row>
    <row r="26" spans="1:14" x14ac:dyDescent="0.3">
      <c r="A26" s="33" t="str">
        <f t="shared" si="1"/>
        <v/>
      </c>
      <c r="B26" s="26"/>
      <c r="C26" s="25"/>
      <c r="D26" s="25"/>
      <c r="E26" s="25"/>
      <c r="F26" s="25"/>
      <c r="G26" s="25"/>
      <c r="H26" s="25"/>
      <c r="I26" s="25"/>
      <c r="J26" s="25"/>
      <c r="K26" s="25"/>
      <c r="L26" s="25"/>
      <c r="N26" s="15" t="str">
        <f t="shared" si="0"/>
        <v/>
      </c>
    </row>
    <row r="27" spans="1:14" x14ac:dyDescent="0.3">
      <c r="A27" s="33" t="str">
        <f t="shared" si="1"/>
        <v/>
      </c>
      <c r="B27" s="26"/>
      <c r="C27" s="25"/>
      <c r="D27" s="25"/>
      <c r="E27" s="25"/>
      <c r="F27" s="25"/>
      <c r="G27" s="25"/>
      <c r="H27" s="25"/>
      <c r="I27" s="25"/>
      <c r="J27" s="25"/>
      <c r="K27" s="25"/>
      <c r="L27" s="25"/>
      <c r="N27" s="15" t="str">
        <f t="shared" si="0"/>
        <v/>
      </c>
    </row>
    <row r="28" spans="1:14" x14ac:dyDescent="0.3">
      <c r="A28" s="33" t="str">
        <f t="shared" si="1"/>
        <v/>
      </c>
      <c r="B28" s="26"/>
      <c r="C28" s="25"/>
      <c r="D28" s="25"/>
      <c r="E28" s="25"/>
      <c r="F28" s="25"/>
      <c r="G28" s="25"/>
      <c r="H28" s="25"/>
      <c r="I28" s="25"/>
      <c r="J28" s="25"/>
      <c r="K28" s="25"/>
      <c r="L28" s="25"/>
      <c r="N28" s="15" t="str">
        <f t="shared" si="0"/>
        <v/>
      </c>
    </row>
    <row r="29" spans="1:14" x14ac:dyDescent="0.3">
      <c r="A29" s="33" t="str">
        <f t="shared" si="1"/>
        <v/>
      </c>
      <c r="B29" s="26"/>
      <c r="C29" s="25"/>
      <c r="D29" s="25"/>
      <c r="E29" s="25"/>
      <c r="F29" s="25"/>
      <c r="G29" s="25"/>
      <c r="H29" s="25"/>
      <c r="I29" s="25"/>
      <c r="J29" s="25"/>
      <c r="K29" s="25"/>
      <c r="L29" s="25"/>
      <c r="N29" s="15" t="str">
        <f t="shared" si="0"/>
        <v/>
      </c>
    </row>
    <row r="30" spans="1:14" x14ac:dyDescent="0.3">
      <c r="A30" s="33" t="str">
        <f t="shared" si="1"/>
        <v/>
      </c>
      <c r="B30" s="26"/>
      <c r="C30" s="25"/>
      <c r="D30" s="25"/>
      <c r="E30" s="25"/>
      <c r="F30" s="25"/>
      <c r="G30" s="25"/>
      <c r="H30" s="25"/>
      <c r="I30" s="25"/>
      <c r="J30" s="25"/>
      <c r="K30" s="25"/>
      <c r="L30" s="25"/>
      <c r="N30" s="15" t="str">
        <f t="shared" si="0"/>
        <v/>
      </c>
    </row>
    <row r="31" spans="1:14" x14ac:dyDescent="0.3">
      <c r="A31" s="33" t="str">
        <f t="shared" si="1"/>
        <v/>
      </c>
      <c r="B31" s="26"/>
      <c r="C31" s="25"/>
      <c r="D31" s="25"/>
      <c r="E31" s="25"/>
      <c r="F31" s="25"/>
      <c r="G31" s="25"/>
      <c r="H31" s="25"/>
      <c r="I31" s="25"/>
      <c r="J31" s="25"/>
      <c r="K31" s="25"/>
      <c r="L31" s="25"/>
      <c r="N31" s="15" t="str">
        <f t="shared" si="0"/>
        <v/>
      </c>
    </row>
    <row r="32" spans="1:14" x14ac:dyDescent="0.3">
      <c r="A32" s="33" t="str">
        <f t="shared" si="1"/>
        <v/>
      </c>
      <c r="B32" s="26"/>
      <c r="C32" s="25"/>
      <c r="D32" s="25"/>
      <c r="E32" s="25"/>
      <c r="F32" s="25"/>
      <c r="G32" s="25"/>
      <c r="H32" s="25"/>
      <c r="I32" s="25"/>
      <c r="J32" s="25"/>
      <c r="K32" s="25"/>
      <c r="L32" s="25"/>
      <c r="N32" s="15" t="str">
        <f t="shared" si="0"/>
        <v/>
      </c>
    </row>
    <row r="33" spans="1:14" x14ac:dyDescent="0.3">
      <c r="A33" s="33" t="str">
        <f t="shared" si="1"/>
        <v/>
      </c>
      <c r="B33" s="26"/>
      <c r="C33" s="25"/>
      <c r="D33" s="25"/>
      <c r="E33" s="25"/>
      <c r="F33" s="25"/>
      <c r="G33" s="25"/>
      <c r="H33" s="25"/>
      <c r="I33" s="25"/>
      <c r="J33" s="25"/>
      <c r="K33" s="25"/>
      <c r="L33" s="25"/>
      <c r="N33" s="15" t="str">
        <f t="shared" si="0"/>
        <v/>
      </c>
    </row>
    <row r="34" spans="1:14" x14ac:dyDescent="0.3">
      <c r="A34" s="33" t="str">
        <f t="shared" si="1"/>
        <v/>
      </c>
      <c r="B34" s="26"/>
      <c r="C34" s="25"/>
      <c r="D34" s="25"/>
      <c r="E34" s="25"/>
      <c r="F34" s="25"/>
      <c r="G34" s="25"/>
      <c r="H34" s="25"/>
      <c r="I34" s="25"/>
      <c r="J34" s="25"/>
      <c r="K34" s="25"/>
      <c r="L34" s="25"/>
      <c r="N34" s="15" t="str">
        <f t="shared" si="0"/>
        <v/>
      </c>
    </row>
    <row r="35" spans="1:14" x14ac:dyDescent="0.3">
      <c r="A35" s="33" t="str">
        <f t="shared" si="1"/>
        <v/>
      </c>
      <c r="B35" s="26"/>
      <c r="C35" s="25"/>
      <c r="D35" s="25"/>
      <c r="E35" s="25"/>
      <c r="F35" s="25"/>
      <c r="G35" s="25"/>
      <c r="H35" s="25"/>
      <c r="I35" s="25"/>
      <c r="J35" s="25"/>
      <c r="K35" s="25"/>
      <c r="L35" s="25"/>
      <c r="N35" s="15" t="str">
        <f t="shared" si="0"/>
        <v/>
      </c>
    </row>
    <row r="36" spans="1:14" x14ac:dyDescent="0.3">
      <c r="A36" s="33" t="str">
        <f t="shared" si="1"/>
        <v/>
      </c>
      <c r="B36" s="26"/>
      <c r="C36" s="25"/>
      <c r="D36" s="25"/>
      <c r="E36" s="25"/>
      <c r="F36" s="25"/>
      <c r="G36" s="25"/>
      <c r="H36" s="25"/>
      <c r="I36" s="25"/>
      <c r="J36" s="25"/>
      <c r="K36" s="25"/>
      <c r="L36" s="25"/>
      <c r="N36" s="15" t="str">
        <f t="shared" si="0"/>
        <v/>
      </c>
    </row>
    <row r="37" spans="1:14" x14ac:dyDescent="0.3">
      <c r="A37" s="33" t="str">
        <f t="shared" si="1"/>
        <v/>
      </c>
      <c r="B37" s="26"/>
      <c r="C37" s="25"/>
      <c r="D37" s="25"/>
      <c r="E37" s="25"/>
      <c r="F37" s="25"/>
      <c r="G37" s="25"/>
      <c r="H37" s="25"/>
      <c r="I37" s="25"/>
      <c r="J37" s="25"/>
      <c r="K37" s="25"/>
      <c r="L37" s="25"/>
      <c r="N37" s="15" t="str">
        <f t="shared" si="0"/>
        <v/>
      </c>
    </row>
    <row r="38" spans="1:14" x14ac:dyDescent="0.3">
      <c r="A38" s="33" t="str">
        <f t="shared" si="1"/>
        <v/>
      </c>
      <c r="B38" s="26"/>
      <c r="C38" s="25"/>
      <c r="D38" s="25"/>
      <c r="E38" s="25"/>
      <c r="F38" s="25"/>
      <c r="G38" s="25"/>
      <c r="H38" s="25"/>
      <c r="I38" s="25"/>
      <c r="J38" s="25"/>
      <c r="K38" s="25"/>
      <c r="L38" s="25"/>
      <c r="N38" s="15" t="str">
        <f t="shared" si="0"/>
        <v/>
      </c>
    </row>
    <row r="39" spans="1:14" x14ac:dyDescent="0.3">
      <c r="A39" s="33" t="str">
        <f t="shared" si="1"/>
        <v/>
      </c>
      <c r="B39" s="26"/>
      <c r="C39" s="25"/>
      <c r="D39" s="25"/>
      <c r="E39" s="25"/>
      <c r="F39" s="25"/>
      <c r="G39" s="25"/>
      <c r="H39" s="25"/>
      <c r="I39" s="25"/>
      <c r="J39" s="25"/>
      <c r="K39" s="25"/>
      <c r="L39" s="25"/>
      <c r="N39" s="15" t="str">
        <f t="shared" si="0"/>
        <v/>
      </c>
    </row>
    <row r="40" spans="1:14" x14ac:dyDescent="0.3">
      <c r="A40" s="33" t="str">
        <f t="shared" si="1"/>
        <v/>
      </c>
      <c r="B40" s="26"/>
      <c r="C40" s="25"/>
      <c r="D40" s="25"/>
      <c r="E40" s="25"/>
      <c r="F40" s="25"/>
      <c r="G40" s="25"/>
      <c r="H40" s="25"/>
      <c r="I40" s="25"/>
      <c r="J40" s="25"/>
      <c r="K40" s="25"/>
      <c r="L40" s="25"/>
      <c r="N40" s="15" t="str">
        <f t="shared" si="0"/>
        <v/>
      </c>
    </row>
    <row r="41" spans="1:14" x14ac:dyDescent="0.3">
      <c r="A41" s="33" t="str">
        <f t="shared" si="1"/>
        <v/>
      </c>
      <c r="B41" s="26"/>
      <c r="C41" s="25"/>
      <c r="D41" s="25"/>
      <c r="E41" s="25"/>
      <c r="F41" s="25"/>
      <c r="G41" s="25"/>
      <c r="H41" s="25"/>
      <c r="I41" s="25"/>
      <c r="J41" s="25"/>
      <c r="K41" s="25"/>
      <c r="L41" s="25"/>
      <c r="N41" s="15" t="str">
        <f t="shared" si="0"/>
        <v/>
      </c>
    </row>
    <row r="42" spans="1:14" x14ac:dyDescent="0.3">
      <c r="A42" s="33" t="str">
        <f t="shared" si="1"/>
        <v/>
      </c>
      <c r="B42" s="26"/>
      <c r="C42" s="25"/>
      <c r="D42" s="25"/>
      <c r="E42" s="25"/>
      <c r="F42" s="25"/>
      <c r="G42" s="25"/>
      <c r="H42" s="25"/>
      <c r="I42" s="25"/>
      <c r="J42" s="25"/>
      <c r="K42" s="25"/>
      <c r="L42" s="25"/>
      <c r="N42" s="15" t="str">
        <f t="shared" si="0"/>
        <v/>
      </c>
    </row>
    <row r="43" spans="1:14" x14ac:dyDescent="0.3">
      <c r="A43" s="33" t="str">
        <f t="shared" si="1"/>
        <v/>
      </c>
      <c r="B43" s="26"/>
      <c r="C43" s="25"/>
      <c r="D43" s="25"/>
      <c r="E43" s="25"/>
      <c r="F43" s="25"/>
      <c r="G43" s="25"/>
      <c r="H43" s="25"/>
      <c r="I43" s="25"/>
      <c r="J43" s="25"/>
      <c r="K43" s="25"/>
      <c r="L43" s="25"/>
      <c r="N43" s="15" t="str">
        <f t="shared" si="0"/>
        <v/>
      </c>
    </row>
    <row r="44" spans="1:14" x14ac:dyDescent="0.3">
      <c r="A44" s="33" t="str">
        <f t="shared" si="1"/>
        <v/>
      </c>
      <c r="B44" s="26"/>
      <c r="C44" s="25"/>
      <c r="D44" s="25"/>
      <c r="E44" s="25"/>
      <c r="F44" s="25"/>
      <c r="G44" s="25"/>
      <c r="H44" s="25"/>
      <c r="I44" s="25"/>
      <c r="J44" s="25"/>
      <c r="K44" s="25"/>
      <c r="L44" s="25"/>
      <c r="N44" s="15" t="str">
        <f t="shared" si="0"/>
        <v/>
      </c>
    </row>
    <row r="45" spans="1:14" x14ac:dyDescent="0.3">
      <c r="A45" s="33" t="str">
        <f t="shared" si="1"/>
        <v/>
      </c>
      <c r="B45" s="26"/>
      <c r="C45" s="25"/>
      <c r="D45" s="25"/>
      <c r="E45" s="25"/>
      <c r="F45" s="25"/>
      <c r="G45" s="25"/>
      <c r="H45" s="25"/>
      <c r="I45" s="25"/>
      <c r="J45" s="25"/>
      <c r="K45" s="25"/>
      <c r="L45" s="25"/>
      <c r="N45" s="15" t="str">
        <f t="shared" si="0"/>
        <v/>
      </c>
    </row>
    <row r="46" spans="1:14" x14ac:dyDescent="0.3">
      <c r="A46" s="33" t="str">
        <f t="shared" si="1"/>
        <v/>
      </c>
      <c r="B46" s="26"/>
      <c r="C46" s="25"/>
      <c r="D46" s="25"/>
      <c r="E46" s="25"/>
      <c r="F46" s="25"/>
      <c r="G46" s="25"/>
      <c r="H46" s="25"/>
      <c r="I46" s="25"/>
      <c r="J46" s="25"/>
      <c r="K46" s="25"/>
      <c r="L46" s="25"/>
      <c r="N46" s="15" t="str">
        <f t="shared" si="0"/>
        <v/>
      </c>
    </row>
    <row r="47" spans="1:14" x14ac:dyDescent="0.3">
      <c r="A47" s="33" t="str">
        <f t="shared" si="1"/>
        <v/>
      </c>
      <c r="B47" s="26"/>
      <c r="C47" s="25"/>
      <c r="D47" s="25"/>
      <c r="E47" s="25"/>
      <c r="F47" s="25"/>
      <c r="G47" s="25"/>
      <c r="H47" s="25"/>
      <c r="I47" s="25"/>
      <c r="J47" s="25"/>
      <c r="K47" s="25"/>
      <c r="L47" s="25"/>
      <c r="N47" s="15" t="str">
        <f t="shared" si="0"/>
        <v/>
      </c>
    </row>
    <row r="48" spans="1:14" x14ac:dyDescent="0.3">
      <c r="A48" s="33" t="str">
        <f t="shared" si="1"/>
        <v/>
      </c>
      <c r="B48" s="26"/>
      <c r="C48" s="25"/>
      <c r="D48" s="25"/>
      <c r="E48" s="25"/>
      <c r="F48" s="25"/>
      <c r="G48" s="25"/>
      <c r="H48" s="25"/>
      <c r="I48" s="25"/>
      <c r="J48" s="25"/>
      <c r="K48" s="25"/>
      <c r="L48" s="25"/>
      <c r="N48" s="15" t="str">
        <f t="shared" si="0"/>
        <v/>
      </c>
    </row>
    <row r="49" spans="1:14" x14ac:dyDescent="0.3">
      <c r="A49" s="33" t="str">
        <f t="shared" si="1"/>
        <v/>
      </c>
      <c r="B49" s="26"/>
      <c r="C49" s="25"/>
      <c r="D49" s="25"/>
      <c r="E49" s="25"/>
      <c r="F49" s="25"/>
      <c r="G49" s="25"/>
      <c r="H49" s="25"/>
      <c r="I49" s="25"/>
      <c r="J49" s="25"/>
      <c r="K49" s="25"/>
      <c r="L49" s="25"/>
      <c r="N49" s="15" t="str">
        <f t="shared" si="0"/>
        <v/>
      </c>
    </row>
    <row r="50" spans="1:14" x14ac:dyDescent="0.3">
      <c r="A50" s="33" t="str">
        <f t="shared" si="1"/>
        <v/>
      </c>
      <c r="B50" s="26"/>
      <c r="C50" s="25"/>
      <c r="D50" s="25"/>
      <c r="E50" s="25"/>
      <c r="F50" s="25"/>
      <c r="G50" s="25"/>
      <c r="H50" s="25"/>
      <c r="I50" s="25"/>
      <c r="J50" s="25"/>
      <c r="K50" s="25"/>
      <c r="L50" s="25"/>
      <c r="N50" s="15" t="str">
        <f t="shared" si="0"/>
        <v/>
      </c>
    </row>
    <row r="51" spans="1:14" x14ac:dyDescent="0.3">
      <c r="A51" s="33" t="str">
        <f t="shared" si="1"/>
        <v/>
      </c>
      <c r="B51" s="26"/>
      <c r="C51" s="25"/>
      <c r="D51" s="25"/>
      <c r="E51" s="25"/>
      <c r="F51" s="25"/>
      <c r="G51" s="25"/>
      <c r="H51" s="25"/>
      <c r="I51" s="25"/>
      <c r="J51" s="25"/>
      <c r="K51" s="25"/>
      <c r="L51" s="25"/>
      <c r="N51" s="15" t="str">
        <f t="shared" si="0"/>
        <v/>
      </c>
    </row>
    <row r="52" spans="1:14" x14ac:dyDescent="0.3">
      <c r="A52" s="33" t="str">
        <f t="shared" si="1"/>
        <v/>
      </c>
      <c r="B52" s="26"/>
      <c r="C52" s="25"/>
      <c r="D52" s="25"/>
      <c r="E52" s="25"/>
      <c r="F52" s="25"/>
      <c r="G52" s="25"/>
      <c r="H52" s="25"/>
      <c r="I52" s="25"/>
      <c r="J52" s="25"/>
      <c r="K52" s="25"/>
      <c r="L52" s="25"/>
      <c r="N52" s="15" t="str">
        <f t="shared" si="0"/>
        <v/>
      </c>
    </row>
    <row r="53" spans="1:14" x14ac:dyDescent="0.3">
      <c r="A53" s="33" t="str">
        <f t="shared" si="1"/>
        <v/>
      </c>
      <c r="B53" s="26"/>
      <c r="C53" s="25"/>
      <c r="D53" s="25"/>
      <c r="E53" s="25"/>
      <c r="F53" s="25"/>
      <c r="G53" s="25"/>
      <c r="H53" s="25"/>
      <c r="I53" s="25"/>
      <c r="J53" s="25"/>
      <c r="K53" s="25"/>
      <c r="L53" s="25"/>
      <c r="N53" s="15" t="str">
        <f t="shared" si="0"/>
        <v/>
      </c>
    </row>
    <row r="54" spans="1:14" x14ac:dyDescent="0.3">
      <c r="A54" s="33" t="str">
        <f t="shared" si="1"/>
        <v/>
      </c>
      <c r="B54" s="26"/>
      <c r="C54" s="25"/>
      <c r="D54" s="25"/>
      <c r="E54" s="25"/>
      <c r="F54" s="25"/>
      <c r="G54" s="25"/>
      <c r="H54" s="25"/>
      <c r="I54" s="25"/>
      <c r="J54" s="25"/>
      <c r="K54" s="25"/>
      <c r="L54" s="25"/>
      <c r="N54" s="15" t="str">
        <f t="shared" si="0"/>
        <v/>
      </c>
    </row>
    <row r="55" spans="1:14" x14ac:dyDescent="0.3">
      <c r="A55" s="33" t="str">
        <f t="shared" si="1"/>
        <v/>
      </c>
      <c r="B55" s="26"/>
      <c r="C55" s="25"/>
      <c r="D55" s="25"/>
      <c r="E55" s="25"/>
      <c r="F55" s="25"/>
      <c r="G55" s="25"/>
      <c r="H55" s="25"/>
      <c r="I55" s="25"/>
      <c r="J55" s="25"/>
      <c r="K55" s="25"/>
      <c r="L55" s="25"/>
      <c r="N55" s="15" t="str">
        <f t="shared" si="0"/>
        <v/>
      </c>
    </row>
    <row r="56" spans="1:14" x14ac:dyDescent="0.3">
      <c r="A56" s="33" t="str">
        <f t="shared" si="1"/>
        <v/>
      </c>
      <c r="B56" s="26"/>
      <c r="C56" s="25"/>
      <c r="D56" s="25"/>
      <c r="E56" s="25"/>
      <c r="F56" s="25"/>
      <c r="G56" s="25"/>
      <c r="H56" s="25"/>
      <c r="I56" s="25"/>
      <c r="J56" s="25"/>
      <c r="K56" s="25"/>
      <c r="L56" s="25"/>
      <c r="N56" s="15" t="str">
        <f t="shared" si="0"/>
        <v/>
      </c>
    </row>
    <row r="57" spans="1:14" x14ac:dyDescent="0.3">
      <c r="A57" s="33" t="str">
        <f t="shared" si="1"/>
        <v/>
      </c>
      <c r="B57" s="26"/>
      <c r="C57" s="25"/>
      <c r="D57" s="25"/>
      <c r="E57" s="25"/>
      <c r="F57" s="25"/>
      <c r="G57" s="25"/>
      <c r="H57" s="25"/>
      <c r="I57" s="25"/>
      <c r="J57" s="25"/>
      <c r="K57" s="25"/>
      <c r="L57" s="25"/>
      <c r="N57" s="15" t="str">
        <f t="shared" si="0"/>
        <v/>
      </c>
    </row>
    <row r="58" spans="1:14" x14ac:dyDescent="0.3">
      <c r="A58" s="33" t="str">
        <f t="shared" si="1"/>
        <v/>
      </c>
      <c r="B58" s="26"/>
      <c r="C58" s="25"/>
      <c r="D58" s="25"/>
      <c r="E58" s="25"/>
      <c r="F58" s="25"/>
      <c r="G58" s="25"/>
      <c r="H58" s="25"/>
      <c r="I58" s="25"/>
      <c r="J58" s="25"/>
      <c r="K58" s="25"/>
      <c r="L58" s="25"/>
      <c r="N58" s="15" t="str">
        <f t="shared" si="0"/>
        <v/>
      </c>
    </row>
    <row r="59" spans="1:14" x14ac:dyDescent="0.3">
      <c r="A59" s="33" t="str">
        <f t="shared" si="1"/>
        <v/>
      </c>
      <c r="B59" s="26"/>
      <c r="C59" s="25"/>
      <c r="D59" s="25"/>
      <c r="E59" s="25"/>
      <c r="F59" s="25"/>
      <c r="G59" s="25"/>
      <c r="H59" s="25"/>
      <c r="I59" s="25"/>
      <c r="J59" s="25"/>
      <c r="K59" s="25"/>
      <c r="L59" s="25"/>
      <c r="N59" s="15" t="str">
        <f t="shared" si="0"/>
        <v/>
      </c>
    </row>
    <row r="60" spans="1:14" x14ac:dyDescent="0.3">
      <c r="A60" s="33" t="str">
        <f t="shared" si="1"/>
        <v/>
      </c>
      <c r="B60" s="26"/>
      <c r="C60" s="25"/>
      <c r="D60" s="25"/>
      <c r="E60" s="25"/>
      <c r="F60" s="25"/>
      <c r="G60" s="25"/>
      <c r="H60" s="25"/>
      <c r="I60" s="25"/>
      <c r="J60" s="25"/>
      <c r="K60" s="25"/>
      <c r="L60" s="25"/>
      <c r="N60" s="15" t="str">
        <f t="shared" si="0"/>
        <v/>
      </c>
    </row>
    <row r="61" spans="1:14" x14ac:dyDescent="0.3">
      <c r="A61" s="33" t="str">
        <f t="shared" si="1"/>
        <v/>
      </c>
      <c r="B61" s="26"/>
      <c r="C61" s="25"/>
      <c r="D61" s="25"/>
      <c r="E61" s="25"/>
      <c r="F61" s="25"/>
      <c r="G61" s="25"/>
      <c r="H61" s="25"/>
      <c r="I61" s="25"/>
      <c r="J61" s="25"/>
      <c r="K61" s="25"/>
      <c r="L61" s="25"/>
      <c r="N61" s="15" t="str">
        <f t="shared" si="0"/>
        <v/>
      </c>
    </row>
    <row r="62" spans="1:14" x14ac:dyDescent="0.3">
      <c r="A62" s="33" t="str">
        <f t="shared" si="1"/>
        <v/>
      </c>
      <c r="B62" s="26"/>
      <c r="C62" s="25"/>
      <c r="D62" s="25"/>
      <c r="E62" s="25"/>
      <c r="F62" s="25"/>
      <c r="G62" s="25"/>
      <c r="H62" s="25"/>
      <c r="I62" s="25"/>
      <c r="J62" s="25"/>
      <c r="K62" s="25"/>
      <c r="L62" s="25"/>
      <c r="N62" s="15" t="str">
        <f t="shared" si="0"/>
        <v/>
      </c>
    </row>
    <row r="63" spans="1:14" x14ac:dyDescent="0.3">
      <c r="A63" s="33" t="str">
        <f t="shared" si="1"/>
        <v/>
      </c>
      <c r="B63" s="26"/>
      <c r="C63" s="25"/>
      <c r="D63" s="25"/>
      <c r="E63" s="25"/>
      <c r="F63" s="25"/>
      <c r="G63" s="25"/>
      <c r="H63" s="25"/>
      <c r="I63" s="25"/>
      <c r="J63" s="25"/>
      <c r="K63" s="25"/>
      <c r="L63" s="25"/>
      <c r="N63" s="15" t="str">
        <f t="shared" si="0"/>
        <v/>
      </c>
    </row>
    <row r="64" spans="1:14" x14ac:dyDescent="0.3">
      <c r="A64" s="33" t="str">
        <f t="shared" si="1"/>
        <v/>
      </c>
      <c r="B64" s="26"/>
      <c r="C64" s="25"/>
      <c r="D64" s="25"/>
      <c r="E64" s="25"/>
      <c r="F64" s="25"/>
      <c r="G64" s="25"/>
      <c r="H64" s="25"/>
      <c r="I64" s="25"/>
      <c r="J64" s="25"/>
      <c r="K64" s="25"/>
      <c r="L64" s="25"/>
      <c r="N64" s="15" t="str">
        <f t="shared" si="0"/>
        <v/>
      </c>
    </row>
    <row r="65" spans="1:14" x14ac:dyDescent="0.3">
      <c r="A65" s="33" t="str">
        <f t="shared" si="1"/>
        <v/>
      </c>
      <c r="B65" s="26"/>
      <c r="C65" s="25"/>
      <c r="D65" s="25"/>
      <c r="E65" s="25"/>
      <c r="F65" s="25"/>
      <c r="G65" s="25"/>
      <c r="H65" s="25"/>
      <c r="I65" s="25"/>
      <c r="J65" s="25"/>
      <c r="K65" s="25"/>
      <c r="L65" s="25"/>
      <c r="N65" s="15" t="str">
        <f t="shared" si="0"/>
        <v/>
      </c>
    </row>
    <row r="66" spans="1:14" x14ac:dyDescent="0.3">
      <c r="A66" s="33" t="str">
        <f t="shared" si="1"/>
        <v/>
      </c>
      <c r="B66" s="26"/>
      <c r="C66" s="25"/>
      <c r="D66" s="25"/>
      <c r="E66" s="25"/>
      <c r="F66" s="25"/>
      <c r="G66" s="25"/>
      <c r="H66" s="25"/>
      <c r="I66" s="25"/>
      <c r="J66" s="25"/>
      <c r="K66" s="25"/>
      <c r="L66" s="25"/>
      <c r="N66" s="15" t="str">
        <f t="shared" si="0"/>
        <v/>
      </c>
    </row>
    <row r="67" spans="1:14" x14ac:dyDescent="0.3">
      <c r="A67" s="33" t="str">
        <f t="shared" si="1"/>
        <v/>
      </c>
      <c r="B67" s="26"/>
      <c r="C67" s="25"/>
      <c r="D67" s="25"/>
      <c r="E67" s="25"/>
      <c r="F67" s="25"/>
      <c r="G67" s="25"/>
      <c r="H67" s="25"/>
      <c r="I67" s="25"/>
      <c r="J67" s="25"/>
      <c r="K67" s="25"/>
      <c r="L67" s="25"/>
      <c r="N67" s="15" t="str">
        <f t="shared" si="0"/>
        <v/>
      </c>
    </row>
    <row r="68" spans="1:14" x14ac:dyDescent="0.3">
      <c r="A68" s="33" t="str">
        <f t="shared" si="1"/>
        <v/>
      </c>
      <c r="B68" s="26"/>
      <c r="C68" s="25"/>
      <c r="D68" s="25"/>
      <c r="E68" s="25"/>
      <c r="F68" s="25"/>
      <c r="G68" s="25"/>
      <c r="H68" s="25"/>
      <c r="I68" s="25"/>
      <c r="J68" s="25"/>
      <c r="K68" s="25"/>
      <c r="L68" s="25"/>
      <c r="N68" s="15" t="str">
        <f t="shared" ref="N68:N131" si="2">IF(B68="","",CHOOSE(MONTH(B68),"Januari","Februari","Maret","April","Mei","Juni","Juli","Agustus","September","Oktober","November","Desember"))</f>
        <v/>
      </c>
    </row>
    <row r="69" spans="1:14" x14ac:dyDescent="0.3">
      <c r="A69" s="33" t="str">
        <f t="shared" si="1"/>
        <v/>
      </c>
      <c r="B69" s="26"/>
      <c r="C69" s="25"/>
      <c r="D69" s="25"/>
      <c r="E69" s="25"/>
      <c r="F69" s="25"/>
      <c r="G69" s="25"/>
      <c r="H69" s="25"/>
      <c r="I69" s="25"/>
      <c r="J69" s="25"/>
      <c r="K69" s="25"/>
      <c r="L69" s="25"/>
      <c r="N69" s="15" t="str">
        <f t="shared" si="2"/>
        <v/>
      </c>
    </row>
    <row r="70" spans="1:14" x14ac:dyDescent="0.3">
      <c r="A70" s="33" t="str">
        <f t="shared" si="1"/>
        <v/>
      </c>
      <c r="B70" s="26"/>
      <c r="C70" s="25"/>
      <c r="D70" s="25"/>
      <c r="E70" s="25"/>
      <c r="F70" s="25"/>
      <c r="G70" s="25"/>
      <c r="H70" s="25"/>
      <c r="I70" s="25"/>
      <c r="J70" s="25"/>
      <c r="K70" s="25"/>
      <c r="L70" s="25"/>
      <c r="N70" s="15" t="str">
        <f t="shared" si="2"/>
        <v/>
      </c>
    </row>
    <row r="71" spans="1:14" x14ac:dyDescent="0.3">
      <c r="A71" s="33" t="str">
        <f t="shared" si="1"/>
        <v/>
      </c>
      <c r="B71" s="26"/>
      <c r="C71" s="25"/>
      <c r="D71" s="25"/>
      <c r="E71" s="25"/>
      <c r="F71" s="25"/>
      <c r="G71" s="25"/>
      <c r="H71" s="25"/>
      <c r="I71" s="25"/>
      <c r="J71" s="25"/>
      <c r="K71" s="25"/>
      <c r="L71" s="25"/>
      <c r="N71" s="15" t="str">
        <f t="shared" si="2"/>
        <v/>
      </c>
    </row>
    <row r="72" spans="1:14" x14ac:dyDescent="0.3">
      <c r="A72" s="33" t="str">
        <f t="shared" si="1"/>
        <v/>
      </c>
      <c r="B72" s="26"/>
      <c r="C72" s="25"/>
      <c r="D72" s="25"/>
      <c r="E72" s="25"/>
      <c r="F72" s="25"/>
      <c r="G72" s="25"/>
      <c r="H72" s="25"/>
      <c r="I72" s="25"/>
      <c r="J72" s="25"/>
      <c r="K72" s="25"/>
      <c r="L72" s="25"/>
      <c r="N72" s="15" t="str">
        <f t="shared" si="2"/>
        <v/>
      </c>
    </row>
    <row r="73" spans="1:14" x14ac:dyDescent="0.3">
      <c r="A73" s="33" t="str">
        <f t="shared" ref="A73:A136" si="3">IF(B73="","",ROW()-3)</f>
        <v/>
      </c>
      <c r="B73" s="26"/>
      <c r="C73" s="25"/>
      <c r="D73" s="25"/>
      <c r="E73" s="25"/>
      <c r="F73" s="25"/>
      <c r="G73" s="25"/>
      <c r="H73" s="25"/>
      <c r="I73" s="25"/>
      <c r="J73" s="25"/>
      <c r="K73" s="25"/>
      <c r="L73" s="25"/>
      <c r="N73" s="15" t="str">
        <f t="shared" si="2"/>
        <v/>
      </c>
    </row>
    <row r="74" spans="1:14" x14ac:dyDescent="0.3">
      <c r="A74" s="33" t="str">
        <f t="shared" si="3"/>
        <v/>
      </c>
      <c r="B74" s="26"/>
      <c r="C74" s="25"/>
      <c r="D74" s="25"/>
      <c r="E74" s="25"/>
      <c r="F74" s="25"/>
      <c r="G74" s="25"/>
      <c r="H74" s="25"/>
      <c r="I74" s="25"/>
      <c r="J74" s="25"/>
      <c r="K74" s="25"/>
      <c r="L74" s="25"/>
      <c r="N74" s="15" t="str">
        <f t="shared" si="2"/>
        <v/>
      </c>
    </row>
    <row r="75" spans="1:14" x14ac:dyDescent="0.3">
      <c r="A75" s="33" t="str">
        <f t="shared" si="3"/>
        <v/>
      </c>
      <c r="B75" s="26"/>
      <c r="C75" s="25"/>
      <c r="D75" s="25"/>
      <c r="E75" s="25"/>
      <c r="F75" s="25"/>
      <c r="G75" s="25"/>
      <c r="H75" s="25"/>
      <c r="I75" s="25"/>
      <c r="J75" s="25"/>
      <c r="K75" s="25"/>
      <c r="L75" s="25"/>
      <c r="N75" s="15" t="str">
        <f t="shared" si="2"/>
        <v/>
      </c>
    </row>
    <row r="76" spans="1:14" x14ac:dyDescent="0.3">
      <c r="A76" s="33" t="str">
        <f t="shared" si="3"/>
        <v/>
      </c>
      <c r="B76" s="26"/>
      <c r="C76" s="25"/>
      <c r="D76" s="25"/>
      <c r="E76" s="25"/>
      <c r="F76" s="25"/>
      <c r="G76" s="25"/>
      <c r="H76" s="25"/>
      <c r="I76" s="25"/>
      <c r="J76" s="25"/>
      <c r="K76" s="25"/>
      <c r="L76" s="25"/>
      <c r="N76" s="15" t="str">
        <f t="shared" si="2"/>
        <v/>
      </c>
    </row>
    <row r="77" spans="1:14" x14ac:dyDescent="0.3">
      <c r="A77" s="33" t="str">
        <f t="shared" si="3"/>
        <v/>
      </c>
      <c r="B77" s="26"/>
      <c r="C77" s="25"/>
      <c r="D77" s="25"/>
      <c r="E77" s="25"/>
      <c r="F77" s="25"/>
      <c r="G77" s="25"/>
      <c r="H77" s="25"/>
      <c r="I77" s="25"/>
      <c r="J77" s="25"/>
      <c r="K77" s="25"/>
      <c r="L77" s="25"/>
      <c r="N77" s="15" t="str">
        <f t="shared" si="2"/>
        <v/>
      </c>
    </row>
    <row r="78" spans="1:14" x14ac:dyDescent="0.3">
      <c r="A78" s="33" t="str">
        <f t="shared" si="3"/>
        <v/>
      </c>
      <c r="B78" s="26"/>
      <c r="C78" s="25"/>
      <c r="D78" s="25"/>
      <c r="E78" s="25"/>
      <c r="F78" s="25"/>
      <c r="G78" s="25"/>
      <c r="H78" s="25"/>
      <c r="I78" s="25"/>
      <c r="J78" s="25"/>
      <c r="K78" s="25"/>
      <c r="L78" s="25"/>
      <c r="N78" s="15" t="str">
        <f t="shared" si="2"/>
        <v/>
      </c>
    </row>
    <row r="79" spans="1:14" x14ac:dyDescent="0.3">
      <c r="A79" s="33" t="str">
        <f t="shared" si="3"/>
        <v/>
      </c>
      <c r="B79" s="26"/>
      <c r="C79" s="25"/>
      <c r="D79" s="25"/>
      <c r="E79" s="25"/>
      <c r="F79" s="25"/>
      <c r="G79" s="25"/>
      <c r="H79" s="25"/>
      <c r="I79" s="25"/>
      <c r="J79" s="25"/>
      <c r="K79" s="25"/>
      <c r="L79" s="25"/>
      <c r="N79" s="15" t="str">
        <f t="shared" si="2"/>
        <v/>
      </c>
    </row>
    <row r="80" spans="1:14" x14ac:dyDescent="0.3">
      <c r="A80" s="33" t="str">
        <f t="shared" si="3"/>
        <v/>
      </c>
      <c r="B80" s="26"/>
      <c r="C80" s="25"/>
      <c r="D80" s="25"/>
      <c r="E80" s="25"/>
      <c r="F80" s="25"/>
      <c r="G80" s="25"/>
      <c r="H80" s="25"/>
      <c r="I80" s="25"/>
      <c r="J80" s="25"/>
      <c r="K80" s="25"/>
      <c r="L80" s="25"/>
      <c r="N80" s="15" t="str">
        <f t="shared" si="2"/>
        <v/>
      </c>
    </row>
    <row r="81" spans="1:14" x14ac:dyDescent="0.3">
      <c r="A81" s="33" t="str">
        <f t="shared" si="3"/>
        <v/>
      </c>
      <c r="B81" s="26"/>
      <c r="C81" s="25"/>
      <c r="D81" s="25"/>
      <c r="E81" s="25"/>
      <c r="F81" s="25"/>
      <c r="G81" s="25"/>
      <c r="H81" s="25"/>
      <c r="I81" s="25"/>
      <c r="J81" s="25"/>
      <c r="K81" s="25"/>
      <c r="L81" s="25"/>
      <c r="N81" s="15" t="str">
        <f t="shared" si="2"/>
        <v/>
      </c>
    </row>
    <row r="82" spans="1:14" x14ac:dyDescent="0.3">
      <c r="A82" s="33" t="str">
        <f t="shared" si="3"/>
        <v/>
      </c>
      <c r="B82" s="26"/>
      <c r="C82" s="25"/>
      <c r="D82" s="25"/>
      <c r="E82" s="25"/>
      <c r="F82" s="25"/>
      <c r="G82" s="25"/>
      <c r="H82" s="25"/>
      <c r="I82" s="25"/>
      <c r="J82" s="25"/>
      <c r="K82" s="25"/>
      <c r="L82" s="25"/>
      <c r="N82" s="15" t="str">
        <f t="shared" si="2"/>
        <v/>
      </c>
    </row>
    <row r="83" spans="1:14" x14ac:dyDescent="0.3">
      <c r="A83" s="33" t="str">
        <f t="shared" si="3"/>
        <v/>
      </c>
      <c r="B83" s="26"/>
      <c r="C83" s="25"/>
      <c r="D83" s="25"/>
      <c r="E83" s="25"/>
      <c r="F83" s="25"/>
      <c r="G83" s="25"/>
      <c r="H83" s="25"/>
      <c r="I83" s="25"/>
      <c r="J83" s="25"/>
      <c r="K83" s="25"/>
      <c r="L83" s="25"/>
      <c r="N83" s="15" t="str">
        <f t="shared" si="2"/>
        <v/>
      </c>
    </row>
    <row r="84" spans="1:14" x14ac:dyDescent="0.3">
      <c r="A84" s="33" t="str">
        <f t="shared" si="3"/>
        <v/>
      </c>
      <c r="B84" s="26"/>
      <c r="C84" s="25"/>
      <c r="D84" s="25"/>
      <c r="E84" s="25"/>
      <c r="F84" s="25"/>
      <c r="G84" s="25"/>
      <c r="H84" s="25"/>
      <c r="I84" s="25"/>
      <c r="J84" s="25"/>
      <c r="K84" s="25"/>
      <c r="L84" s="25"/>
      <c r="N84" s="15" t="str">
        <f t="shared" si="2"/>
        <v/>
      </c>
    </row>
    <row r="85" spans="1:14" x14ac:dyDescent="0.3">
      <c r="A85" s="33" t="str">
        <f t="shared" si="3"/>
        <v/>
      </c>
      <c r="B85" s="26"/>
      <c r="C85" s="25"/>
      <c r="D85" s="25"/>
      <c r="E85" s="25"/>
      <c r="F85" s="25"/>
      <c r="G85" s="25"/>
      <c r="H85" s="25"/>
      <c r="I85" s="25"/>
      <c r="J85" s="25"/>
      <c r="K85" s="25"/>
      <c r="L85" s="25"/>
      <c r="N85" s="15" t="str">
        <f t="shared" si="2"/>
        <v/>
      </c>
    </row>
    <row r="86" spans="1:14" x14ac:dyDescent="0.3">
      <c r="A86" s="33" t="str">
        <f t="shared" si="3"/>
        <v/>
      </c>
      <c r="B86" s="26"/>
      <c r="C86" s="25"/>
      <c r="D86" s="25"/>
      <c r="E86" s="25"/>
      <c r="F86" s="25"/>
      <c r="G86" s="25"/>
      <c r="H86" s="25"/>
      <c r="I86" s="25"/>
      <c r="J86" s="25"/>
      <c r="K86" s="25"/>
      <c r="L86" s="25"/>
      <c r="N86" s="15" t="str">
        <f t="shared" si="2"/>
        <v/>
      </c>
    </row>
    <row r="87" spans="1:14" x14ac:dyDescent="0.3">
      <c r="A87" s="33" t="str">
        <f t="shared" si="3"/>
        <v/>
      </c>
      <c r="B87" s="26"/>
      <c r="C87" s="25"/>
      <c r="D87" s="25"/>
      <c r="E87" s="25"/>
      <c r="F87" s="25"/>
      <c r="G87" s="25"/>
      <c r="H87" s="25"/>
      <c r="I87" s="25"/>
      <c r="J87" s="25"/>
      <c r="K87" s="25"/>
      <c r="L87" s="25"/>
      <c r="N87" s="15" t="str">
        <f t="shared" si="2"/>
        <v/>
      </c>
    </row>
    <row r="88" spans="1:14" x14ac:dyDescent="0.3">
      <c r="A88" s="33" t="str">
        <f t="shared" si="3"/>
        <v/>
      </c>
      <c r="B88" s="26"/>
      <c r="C88" s="25"/>
      <c r="D88" s="25"/>
      <c r="E88" s="25"/>
      <c r="F88" s="25"/>
      <c r="G88" s="25"/>
      <c r="H88" s="25"/>
      <c r="I88" s="25"/>
      <c r="J88" s="25"/>
      <c r="K88" s="25"/>
      <c r="L88" s="25"/>
      <c r="N88" s="15" t="str">
        <f t="shared" si="2"/>
        <v/>
      </c>
    </row>
    <row r="89" spans="1:14" x14ac:dyDescent="0.3">
      <c r="A89" s="33" t="str">
        <f t="shared" si="3"/>
        <v/>
      </c>
      <c r="B89" s="26"/>
      <c r="C89" s="25"/>
      <c r="D89" s="25"/>
      <c r="E89" s="25"/>
      <c r="F89" s="25"/>
      <c r="G89" s="25"/>
      <c r="H89" s="25"/>
      <c r="I89" s="25"/>
      <c r="J89" s="25"/>
      <c r="K89" s="25"/>
      <c r="L89" s="25"/>
      <c r="N89" s="15" t="str">
        <f t="shared" si="2"/>
        <v/>
      </c>
    </row>
    <row r="90" spans="1:14" x14ac:dyDescent="0.3">
      <c r="A90" s="33" t="str">
        <f t="shared" si="3"/>
        <v/>
      </c>
      <c r="B90" s="26"/>
      <c r="C90" s="25"/>
      <c r="D90" s="25"/>
      <c r="E90" s="25"/>
      <c r="F90" s="25"/>
      <c r="G90" s="25"/>
      <c r="H90" s="25"/>
      <c r="I90" s="25"/>
      <c r="J90" s="25"/>
      <c r="K90" s="25"/>
      <c r="L90" s="25"/>
      <c r="N90" s="15" t="str">
        <f t="shared" si="2"/>
        <v/>
      </c>
    </row>
    <row r="91" spans="1:14" x14ac:dyDescent="0.3">
      <c r="A91" s="33" t="str">
        <f t="shared" si="3"/>
        <v/>
      </c>
      <c r="B91" s="26"/>
      <c r="C91" s="25"/>
      <c r="D91" s="25"/>
      <c r="E91" s="25"/>
      <c r="F91" s="25"/>
      <c r="G91" s="25"/>
      <c r="H91" s="25"/>
      <c r="I91" s="25"/>
      <c r="J91" s="25"/>
      <c r="K91" s="25"/>
      <c r="L91" s="25"/>
      <c r="N91" s="15" t="str">
        <f t="shared" si="2"/>
        <v/>
      </c>
    </row>
    <row r="92" spans="1:14" x14ac:dyDescent="0.3">
      <c r="A92" s="33" t="str">
        <f t="shared" si="3"/>
        <v/>
      </c>
      <c r="B92" s="26"/>
      <c r="C92" s="25"/>
      <c r="D92" s="25"/>
      <c r="E92" s="25"/>
      <c r="F92" s="25"/>
      <c r="G92" s="25"/>
      <c r="H92" s="25"/>
      <c r="I92" s="25"/>
      <c r="J92" s="25"/>
      <c r="K92" s="25"/>
      <c r="L92" s="25"/>
      <c r="N92" s="15" t="str">
        <f t="shared" si="2"/>
        <v/>
      </c>
    </row>
    <row r="93" spans="1:14" x14ac:dyDescent="0.3">
      <c r="A93" s="33" t="str">
        <f t="shared" si="3"/>
        <v/>
      </c>
      <c r="B93" s="26"/>
      <c r="C93" s="25"/>
      <c r="D93" s="25"/>
      <c r="E93" s="25"/>
      <c r="F93" s="25"/>
      <c r="G93" s="25"/>
      <c r="H93" s="25"/>
      <c r="I93" s="25"/>
      <c r="J93" s="25"/>
      <c r="K93" s="25"/>
      <c r="L93" s="25"/>
      <c r="N93" s="15" t="str">
        <f t="shared" si="2"/>
        <v/>
      </c>
    </row>
    <row r="94" spans="1:14" x14ac:dyDescent="0.3">
      <c r="A94" s="33" t="str">
        <f t="shared" si="3"/>
        <v/>
      </c>
      <c r="B94" s="26"/>
      <c r="C94" s="25"/>
      <c r="D94" s="25"/>
      <c r="E94" s="25"/>
      <c r="F94" s="25"/>
      <c r="G94" s="25"/>
      <c r="H94" s="25"/>
      <c r="I94" s="25"/>
      <c r="J94" s="25"/>
      <c r="K94" s="25"/>
      <c r="L94" s="25"/>
      <c r="N94" s="15" t="str">
        <f t="shared" si="2"/>
        <v/>
      </c>
    </row>
    <row r="95" spans="1:14" x14ac:dyDescent="0.3">
      <c r="A95" s="33" t="str">
        <f t="shared" si="3"/>
        <v/>
      </c>
      <c r="B95" s="26"/>
      <c r="C95" s="25"/>
      <c r="D95" s="25"/>
      <c r="E95" s="25"/>
      <c r="F95" s="25"/>
      <c r="G95" s="25"/>
      <c r="H95" s="25"/>
      <c r="I95" s="25"/>
      <c r="J95" s="25"/>
      <c r="K95" s="25"/>
      <c r="L95" s="25"/>
      <c r="N95" s="15" t="str">
        <f t="shared" si="2"/>
        <v/>
      </c>
    </row>
    <row r="96" spans="1:14" x14ac:dyDescent="0.3">
      <c r="A96" s="33" t="str">
        <f t="shared" si="3"/>
        <v/>
      </c>
      <c r="B96" s="26"/>
      <c r="C96" s="25"/>
      <c r="D96" s="25"/>
      <c r="E96" s="25"/>
      <c r="F96" s="25"/>
      <c r="G96" s="25"/>
      <c r="H96" s="25"/>
      <c r="I96" s="25"/>
      <c r="J96" s="25"/>
      <c r="K96" s="25"/>
      <c r="L96" s="25"/>
      <c r="N96" s="15" t="str">
        <f t="shared" si="2"/>
        <v/>
      </c>
    </row>
    <row r="97" spans="1:14" x14ac:dyDescent="0.3">
      <c r="A97" s="33" t="str">
        <f t="shared" si="3"/>
        <v/>
      </c>
      <c r="B97" s="26"/>
      <c r="C97" s="25"/>
      <c r="D97" s="25"/>
      <c r="E97" s="25"/>
      <c r="F97" s="25"/>
      <c r="G97" s="25"/>
      <c r="H97" s="25"/>
      <c r="I97" s="25"/>
      <c r="J97" s="25"/>
      <c r="K97" s="25"/>
      <c r="L97" s="25"/>
      <c r="N97" s="15" t="str">
        <f t="shared" si="2"/>
        <v/>
      </c>
    </row>
    <row r="98" spans="1:14" x14ac:dyDescent="0.3">
      <c r="A98" s="33" t="str">
        <f t="shared" si="3"/>
        <v/>
      </c>
      <c r="B98" s="26"/>
      <c r="C98" s="25"/>
      <c r="D98" s="25"/>
      <c r="E98" s="25"/>
      <c r="F98" s="25"/>
      <c r="G98" s="25"/>
      <c r="H98" s="25"/>
      <c r="I98" s="25"/>
      <c r="J98" s="25"/>
      <c r="K98" s="25"/>
      <c r="L98" s="25"/>
      <c r="N98" s="15" t="str">
        <f t="shared" si="2"/>
        <v/>
      </c>
    </row>
    <row r="99" spans="1:14" x14ac:dyDescent="0.3">
      <c r="A99" s="33" t="str">
        <f t="shared" si="3"/>
        <v/>
      </c>
      <c r="B99" s="26"/>
      <c r="C99" s="25"/>
      <c r="D99" s="25"/>
      <c r="E99" s="25"/>
      <c r="F99" s="25"/>
      <c r="G99" s="25"/>
      <c r="H99" s="25"/>
      <c r="I99" s="25"/>
      <c r="J99" s="25"/>
      <c r="K99" s="25"/>
      <c r="L99" s="25"/>
      <c r="N99" s="15" t="str">
        <f t="shared" si="2"/>
        <v/>
      </c>
    </row>
    <row r="100" spans="1:14" x14ac:dyDescent="0.3">
      <c r="A100" s="33" t="str">
        <f t="shared" si="3"/>
        <v/>
      </c>
      <c r="B100" s="26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N100" s="15" t="str">
        <f t="shared" si="2"/>
        <v/>
      </c>
    </row>
    <row r="101" spans="1:14" x14ac:dyDescent="0.3">
      <c r="A101" s="33" t="str">
        <f t="shared" si="3"/>
        <v/>
      </c>
      <c r="B101" s="26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N101" s="15" t="str">
        <f t="shared" si="2"/>
        <v/>
      </c>
    </row>
    <row r="102" spans="1:14" x14ac:dyDescent="0.3">
      <c r="A102" s="33" t="str">
        <f t="shared" si="3"/>
        <v/>
      </c>
      <c r="B102" s="26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N102" s="15" t="str">
        <f t="shared" si="2"/>
        <v/>
      </c>
    </row>
    <row r="103" spans="1:14" x14ac:dyDescent="0.3">
      <c r="A103" s="33" t="str">
        <f t="shared" si="3"/>
        <v/>
      </c>
      <c r="B103" s="26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N103" s="15" t="str">
        <f t="shared" si="2"/>
        <v/>
      </c>
    </row>
    <row r="104" spans="1:14" x14ac:dyDescent="0.3">
      <c r="A104" s="33" t="str">
        <f t="shared" si="3"/>
        <v/>
      </c>
      <c r="B104" s="26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N104" s="15" t="str">
        <f t="shared" si="2"/>
        <v/>
      </c>
    </row>
    <row r="105" spans="1:14" x14ac:dyDescent="0.3">
      <c r="A105" s="33" t="str">
        <f t="shared" si="3"/>
        <v/>
      </c>
      <c r="B105" s="26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N105" s="15" t="str">
        <f t="shared" si="2"/>
        <v/>
      </c>
    </row>
    <row r="106" spans="1:14" x14ac:dyDescent="0.3">
      <c r="A106" s="33" t="str">
        <f t="shared" si="3"/>
        <v/>
      </c>
      <c r="B106" s="26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N106" s="15" t="str">
        <f t="shared" si="2"/>
        <v/>
      </c>
    </row>
    <row r="107" spans="1:14" x14ac:dyDescent="0.3">
      <c r="A107" s="33" t="str">
        <f t="shared" si="3"/>
        <v/>
      </c>
      <c r="B107" s="26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N107" s="15" t="str">
        <f t="shared" si="2"/>
        <v/>
      </c>
    </row>
    <row r="108" spans="1:14" x14ac:dyDescent="0.3">
      <c r="A108" s="33" t="str">
        <f t="shared" si="3"/>
        <v/>
      </c>
      <c r="B108" s="26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N108" s="15" t="str">
        <f t="shared" si="2"/>
        <v/>
      </c>
    </row>
    <row r="109" spans="1:14" x14ac:dyDescent="0.3">
      <c r="A109" s="33" t="str">
        <f t="shared" si="3"/>
        <v/>
      </c>
      <c r="B109" s="26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N109" s="15" t="str">
        <f t="shared" si="2"/>
        <v/>
      </c>
    </row>
    <row r="110" spans="1:14" x14ac:dyDescent="0.3">
      <c r="A110" s="33" t="str">
        <f t="shared" si="3"/>
        <v/>
      </c>
      <c r="B110" s="26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N110" s="15" t="str">
        <f t="shared" si="2"/>
        <v/>
      </c>
    </row>
    <row r="111" spans="1:14" x14ac:dyDescent="0.3">
      <c r="A111" s="33" t="str">
        <f t="shared" si="3"/>
        <v/>
      </c>
      <c r="B111" s="26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N111" s="15" t="str">
        <f t="shared" si="2"/>
        <v/>
      </c>
    </row>
    <row r="112" spans="1:14" x14ac:dyDescent="0.3">
      <c r="A112" s="33" t="str">
        <f t="shared" si="3"/>
        <v/>
      </c>
      <c r="B112" s="26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N112" s="15" t="str">
        <f t="shared" si="2"/>
        <v/>
      </c>
    </row>
    <row r="113" spans="1:14" x14ac:dyDescent="0.3">
      <c r="A113" s="33" t="str">
        <f t="shared" si="3"/>
        <v/>
      </c>
      <c r="B113" s="26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N113" s="15" t="str">
        <f t="shared" si="2"/>
        <v/>
      </c>
    </row>
    <row r="114" spans="1:14" x14ac:dyDescent="0.3">
      <c r="A114" s="33" t="str">
        <f t="shared" si="3"/>
        <v/>
      </c>
      <c r="B114" s="26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N114" s="15" t="str">
        <f t="shared" si="2"/>
        <v/>
      </c>
    </row>
    <row r="115" spans="1:14" x14ac:dyDescent="0.3">
      <c r="A115" s="33" t="str">
        <f t="shared" si="3"/>
        <v/>
      </c>
      <c r="B115" s="26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N115" s="15" t="str">
        <f t="shared" si="2"/>
        <v/>
      </c>
    </row>
    <row r="116" spans="1:14" x14ac:dyDescent="0.3">
      <c r="A116" s="33" t="str">
        <f t="shared" si="3"/>
        <v/>
      </c>
      <c r="B116" s="26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N116" s="15" t="str">
        <f t="shared" si="2"/>
        <v/>
      </c>
    </row>
    <row r="117" spans="1:14" x14ac:dyDescent="0.3">
      <c r="A117" s="33" t="str">
        <f t="shared" si="3"/>
        <v/>
      </c>
      <c r="B117" s="26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N117" s="15" t="str">
        <f t="shared" si="2"/>
        <v/>
      </c>
    </row>
    <row r="118" spans="1:14" x14ac:dyDescent="0.3">
      <c r="A118" s="33" t="str">
        <f t="shared" si="3"/>
        <v/>
      </c>
      <c r="B118" s="26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N118" s="15" t="str">
        <f t="shared" si="2"/>
        <v/>
      </c>
    </row>
    <row r="119" spans="1:14" x14ac:dyDescent="0.3">
      <c r="A119" s="33" t="str">
        <f t="shared" si="3"/>
        <v/>
      </c>
      <c r="B119" s="26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N119" s="15" t="str">
        <f t="shared" si="2"/>
        <v/>
      </c>
    </row>
    <row r="120" spans="1:14" x14ac:dyDescent="0.3">
      <c r="A120" s="33" t="str">
        <f t="shared" si="3"/>
        <v/>
      </c>
      <c r="B120" s="26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N120" s="15" t="str">
        <f t="shared" si="2"/>
        <v/>
      </c>
    </row>
    <row r="121" spans="1:14" x14ac:dyDescent="0.3">
      <c r="A121" s="33" t="str">
        <f t="shared" si="3"/>
        <v/>
      </c>
      <c r="B121" s="26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N121" s="15" t="str">
        <f t="shared" si="2"/>
        <v/>
      </c>
    </row>
    <row r="122" spans="1:14" x14ac:dyDescent="0.3">
      <c r="A122" s="33" t="str">
        <f t="shared" si="3"/>
        <v/>
      </c>
      <c r="B122" s="26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N122" s="15" t="str">
        <f t="shared" si="2"/>
        <v/>
      </c>
    </row>
    <row r="123" spans="1:14" x14ac:dyDescent="0.3">
      <c r="A123" s="33" t="str">
        <f t="shared" si="3"/>
        <v/>
      </c>
      <c r="B123" s="26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N123" s="15" t="str">
        <f t="shared" si="2"/>
        <v/>
      </c>
    </row>
    <row r="124" spans="1:14" x14ac:dyDescent="0.3">
      <c r="A124" s="33" t="str">
        <f t="shared" si="3"/>
        <v/>
      </c>
      <c r="B124" s="26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N124" s="15" t="str">
        <f t="shared" si="2"/>
        <v/>
      </c>
    </row>
    <row r="125" spans="1:14" x14ac:dyDescent="0.3">
      <c r="A125" s="33" t="str">
        <f t="shared" si="3"/>
        <v/>
      </c>
      <c r="B125" s="26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N125" s="15" t="str">
        <f t="shared" si="2"/>
        <v/>
      </c>
    </row>
    <row r="126" spans="1:14" x14ac:dyDescent="0.3">
      <c r="A126" s="33" t="str">
        <f t="shared" si="3"/>
        <v/>
      </c>
      <c r="B126" s="26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N126" s="15" t="str">
        <f t="shared" si="2"/>
        <v/>
      </c>
    </row>
    <row r="127" spans="1:14" x14ac:dyDescent="0.3">
      <c r="A127" s="33" t="str">
        <f t="shared" si="3"/>
        <v/>
      </c>
      <c r="B127" s="26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N127" s="15" t="str">
        <f t="shared" si="2"/>
        <v/>
      </c>
    </row>
    <row r="128" spans="1:14" x14ac:dyDescent="0.3">
      <c r="A128" s="33" t="str">
        <f t="shared" si="3"/>
        <v/>
      </c>
      <c r="B128" s="26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N128" s="15" t="str">
        <f t="shared" si="2"/>
        <v/>
      </c>
    </row>
    <row r="129" spans="1:14" x14ac:dyDescent="0.3">
      <c r="A129" s="33" t="str">
        <f t="shared" si="3"/>
        <v/>
      </c>
      <c r="B129" s="26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N129" s="15" t="str">
        <f t="shared" si="2"/>
        <v/>
      </c>
    </row>
    <row r="130" spans="1:14" x14ac:dyDescent="0.3">
      <c r="A130" s="33" t="str">
        <f t="shared" si="3"/>
        <v/>
      </c>
      <c r="B130" s="26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N130" s="15" t="str">
        <f t="shared" si="2"/>
        <v/>
      </c>
    </row>
    <row r="131" spans="1:14" x14ac:dyDescent="0.3">
      <c r="A131" s="33" t="str">
        <f t="shared" si="3"/>
        <v/>
      </c>
      <c r="B131" s="26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N131" s="15" t="str">
        <f t="shared" si="2"/>
        <v/>
      </c>
    </row>
    <row r="132" spans="1:14" x14ac:dyDescent="0.3">
      <c r="A132" s="33" t="str">
        <f t="shared" si="3"/>
        <v/>
      </c>
      <c r="B132" s="26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N132" s="15" t="str">
        <f t="shared" ref="N132:N195" si="4">IF(B132="","",CHOOSE(MONTH(B132),"Januari","Februari","Maret","April","Mei","Juni","Juli","Agustus","September","Oktober","November","Desember"))</f>
        <v/>
      </c>
    </row>
    <row r="133" spans="1:14" x14ac:dyDescent="0.3">
      <c r="A133" s="33" t="str">
        <f t="shared" si="3"/>
        <v/>
      </c>
      <c r="B133" s="26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N133" s="15" t="str">
        <f t="shared" si="4"/>
        <v/>
      </c>
    </row>
    <row r="134" spans="1:14" x14ac:dyDescent="0.3">
      <c r="A134" s="33" t="str">
        <f t="shared" si="3"/>
        <v/>
      </c>
      <c r="B134" s="26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N134" s="15" t="str">
        <f t="shared" si="4"/>
        <v/>
      </c>
    </row>
    <row r="135" spans="1:14" x14ac:dyDescent="0.3">
      <c r="A135" s="33" t="str">
        <f t="shared" si="3"/>
        <v/>
      </c>
      <c r="B135" s="2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N135" s="15" t="str">
        <f t="shared" si="4"/>
        <v/>
      </c>
    </row>
    <row r="136" spans="1:14" x14ac:dyDescent="0.3">
      <c r="A136" s="33" t="str">
        <f t="shared" si="3"/>
        <v/>
      </c>
      <c r="B136" s="26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N136" s="15" t="str">
        <f t="shared" si="4"/>
        <v/>
      </c>
    </row>
    <row r="137" spans="1:14" x14ac:dyDescent="0.3">
      <c r="A137" s="33" t="str">
        <f t="shared" ref="A137:A200" si="5">IF(B137="","",ROW()-3)</f>
        <v/>
      </c>
      <c r="B137" s="2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N137" s="15" t="str">
        <f t="shared" si="4"/>
        <v/>
      </c>
    </row>
    <row r="138" spans="1:14" x14ac:dyDescent="0.3">
      <c r="A138" s="33" t="str">
        <f t="shared" si="5"/>
        <v/>
      </c>
      <c r="B138" s="26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N138" s="15" t="str">
        <f t="shared" si="4"/>
        <v/>
      </c>
    </row>
    <row r="139" spans="1:14" x14ac:dyDescent="0.3">
      <c r="A139" s="33" t="str">
        <f t="shared" si="5"/>
        <v/>
      </c>
      <c r="B139" s="2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N139" s="15" t="str">
        <f t="shared" si="4"/>
        <v/>
      </c>
    </row>
    <row r="140" spans="1:14" x14ac:dyDescent="0.3">
      <c r="A140" s="33" t="str">
        <f t="shared" si="5"/>
        <v/>
      </c>
      <c r="B140" s="26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N140" s="15" t="str">
        <f t="shared" si="4"/>
        <v/>
      </c>
    </row>
    <row r="141" spans="1:14" x14ac:dyDescent="0.3">
      <c r="A141" s="33" t="str">
        <f t="shared" si="5"/>
        <v/>
      </c>
      <c r="B141" s="2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N141" s="15" t="str">
        <f t="shared" si="4"/>
        <v/>
      </c>
    </row>
    <row r="142" spans="1:14" x14ac:dyDescent="0.3">
      <c r="A142" s="33" t="str">
        <f t="shared" si="5"/>
        <v/>
      </c>
      <c r="B142" s="26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N142" s="15" t="str">
        <f t="shared" si="4"/>
        <v/>
      </c>
    </row>
    <row r="143" spans="1:14" x14ac:dyDescent="0.3">
      <c r="A143" s="33" t="str">
        <f t="shared" si="5"/>
        <v/>
      </c>
      <c r="B143" s="2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N143" s="15" t="str">
        <f t="shared" si="4"/>
        <v/>
      </c>
    </row>
    <row r="144" spans="1:14" x14ac:dyDescent="0.3">
      <c r="A144" s="33" t="str">
        <f t="shared" si="5"/>
        <v/>
      </c>
      <c r="B144" s="26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N144" s="15" t="str">
        <f t="shared" si="4"/>
        <v/>
      </c>
    </row>
    <row r="145" spans="1:14" x14ac:dyDescent="0.3">
      <c r="A145" s="33" t="str">
        <f t="shared" si="5"/>
        <v/>
      </c>
      <c r="B145" s="2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N145" s="15" t="str">
        <f t="shared" si="4"/>
        <v/>
      </c>
    </row>
    <row r="146" spans="1:14" x14ac:dyDescent="0.3">
      <c r="A146" s="33" t="str">
        <f t="shared" si="5"/>
        <v/>
      </c>
      <c r="B146" s="26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N146" s="15" t="str">
        <f t="shared" si="4"/>
        <v/>
      </c>
    </row>
    <row r="147" spans="1:14" x14ac:dyDescent="0.3">
      <c r="A147" s="33" t="str">
        <f t="shared" si="5"/>
        <v/>
      </c>
      <c r="B147" s="2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N147" s="15" t="str">
        <f t="shared" si="4"/>
        <v/>
      </c>
    </row>
    <row r="148" spans="1:14" x14ac:dyDescent="0.3">
      <c r="A148" s="33" t="str">
        <f t="shared" si="5"/>
        <v/>
      </c>
      <c r="B148" s="26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N148" s="15" t="str">
        <f t="shared" si="4"/>
        <v/>
      </c>
    </row>
    <row r="149" spans="1:14" x14ac:dyDescent="0.3">
      <c r="A149" s="33" t="str">
        <f t="shared" si="5"/>
        <v/>
      </c>
      <c r="B149" s="2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N149" s="15" t="str">
        <f t="shared" si="4"/>
        <v/>
      </c>
    </row>
    <row r="150" spans="1:14" x14ac:dyDescent="0.3">
      <c r="A150" s="33" t="str">
        <f t="shared" si="5"/>
        <v/>
      </c>
      <c r="B150" s="26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N150" s="15" t="str">
        <f t="shared" si="4"/>
        <v/>
      </c>
    </row>
    <row r="151" spans="1:14" x14ac:dyDescent="0.3">
      <c r="A151" s="33" t="str">
        <f t="shared" si="5"/>
        <v/>
      </c>
      <c r="B151" s="2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N151" s="15" t="str">
        <f t="shared" si="4"/>
        <v/>
      </c>
    </row>
    <row r="152" spans="1:14" x14ac:dyDescent="0.3">
      <c r="A152" s="33" t="str">
        <f t="shared" si="5"/>
        <v/>
      </c>
      <c r="B152" s="26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N152" s="15" t="str">
        <f t="shared" si="4"/>
        <v/>
      </c>
    </row>
    <row r="153" spans="1:14" x14ac:dyDescent="0.3">
      <c r="A153" s="33" t="str">
        <f t="shared" si="5"/>
        <v/>
      </c>
      <c r="B153" s="2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N153" s="15" t="str">
        <f t="shared" si="4"/>
        <v/>
      </c>
    </row>
    <row r="154" spans="1:14" x14ac:dyDescent="0.3">
      <c r="A154" s="33" t="str">
        <f t="shared" si="5"/>
        <v/>
      </c>
      <c r="B154" s="26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N154" s="15" t="str">
        <f t="shared" si="4"/>
        <v/>
      </c>
    </row>
    <row r="155" spans="1:14" x14ac:dyDescent="0.3">
      <c r="A155" s="33" t="str">
        <f t="shared" si="5"/>
        <v/>
      </c>
      <c r="B155" s="2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N155" s="15" t="str">
        <f t="shared" si="4"/>
        <v/>
      </c>
    </row>
    <row r="156" spans="1:14" x14ac:dyDescent="0.3">
      <c r="A156" s="33" t="str">
        <f t="shared" si="5"/>
        <v/>
      </c>
      <c r="B156" s="26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N156" s="15" t="str">
        <f t="shared" si="4"/>
        <v/>
      </c>
    </row>
    <row r="157" spans="1:14" x14ac:dyDescent="0.3">
      <c r="A157" s="33" t="str">
        <f t="shared" si="5"/>
        <v/>
      </c>
      <c r="B157" s="2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N157" s="15" t="str">
        <f t="shared" si="4"/>
        <v/>
      </c>
    </row>
    <row r="158" spans="1:14" x14ac:dyDescent="0.3">
      <c r="A158" s="33" t="str">
        <f t="shared" si="5"/>
        <v/>
      </c>
      <c r="B158" s="26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N158" s="15" t="str">
        <f t="shared" si="4"/>
        <v/>
      </c>
    </row>
    <row r="159" spans="1:14" x14ac:dyDescent="0.3">
      <c r="A159" s="33" t="str">
        <f t="shared" si="5"/>
        <v/>
      </c>
      <c r="B159" s="2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N159" s="15" t="str">
        <f t="shared" si="4"/>
        <v/>
      </c>
    </row>
    <row r="160" spans="1:14" x14ac:dyDescent="0.3">
      <c r="A160" s="33" t="str">
        <f t="shared" si="5"/>
        <v/>
      </c>
      <c r="B160" s="26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N160" s="15" t="str">
        <f t="shared" si="4"/>
        <v/>
      </c>
    </row>
    <row r="161" spans="1:14" x14ac:dyDescent="0.3">
      <c r="A161" s="33" t="str">
        <f t="shared" si="5"/>
        <v/>
      </c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N161" s="15" t="str">
        <f t="shared" si="4"/>
        <v/>
      </c>
    </row>
    <row r="162" spans="1:14" x14ac:dyDescent="0.3">
      <c r="A162" s="33" t="str">
        <f t="shared" si="5"/>
        <v/>
      </c>
      <c r="B162" s="26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N162" s="15" t="str">
        <f t="shared" si="4"/>
        <v/>
      </c>
    </row>
    <row r="163" spans="1:14" x14ac:dyDescent="0.3">
      <c r="A163" s="33" t="str">
        <f t="shared" si="5"/>
        <v/>
      </c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N163" s="15" t="str">
        <f t="shared" si="4"/>
        <v/>
      </c>
    </row>
    <row r="164" spans="1:14" x14ac:dyDescent="0.3">
      <c r="A164" s="33" t="str">
        <f t="shared" si="5"/>
        <v/>
      </c>
      <c r="B164" s="26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N164" s="15" t="str">
        <f t="shared" si="4"/>
        <v/>
      </c>
    </row>
    <row r="165" spans="1:14" x14ac:dyDescent="0.3">
      <c r="A165" s="33" t="str">
        <f t="shared" si="5"/>
        <v/>
      </c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N165" s="15" t="str">
        <f t="shared" si="4"/>
        <v/>
      </c>
    </row>
    <row r="166" spans="1:14" x14ac:dyDescent="0.3">
      <c r="A166" s="33" t="str">
        <f t="shared" si="5"/>
        <v/>
      </c>
      <c r="B166" s="26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N166" s="15" t="str">
        <f t="shared" si="4"/>
        <v/>
      </c>
    </row>
    <row r="167" spans="1:14" x14ac:dyDescent="0.3">
      <c r="A167" s="33" t="str">
        <f t="shared" si="5"/>
        <v/>
      </c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N167" s="15" t="str">
        <f t="shared" si="4"/>
        <v/>
      </c>
    </row>
    <row r="168" spans="1:14" x14ac:dyDescent="0.3">
      <c r="A168" s="33" t="str">
        <f t="shared" si="5"/>
        <v/>
      </c>
      <c r="B168" s="26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N168" s="15" t="str">
        <f t="shared" si="4"/>
        <v/>
      </c>
    </row>
    <row r="169" spans="1:14" x14ac:dyDescent="0.3">
      <c r="A169" s="33" t="str">
        <f t="shared" si="5"/>
        <v/>
      </c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N169" s="15" t="str">
        <f t="shared" si="4"/>
        <v/>
      </c>
    </row>
    <row r="170" spans="1:14" x14ac:dyDescent="0.3">
      <c r="A170" s="33" t="str">
        <f t="shared" si="5"/>
        <v/>
      </c>
      <c r="B170" s="26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N170" s="15" t="str">
        <f t="shared" si="4"/>
        <v/>
      </c>
    </row>
    <row r="171" spans="1:14" x14ac:dyDescent="0.3">
      <c r="A171" s="33" t="str">
        <f t="shared" si="5"/>
        <v/>
      </c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N171" s="15" t="str">
        <f t="shared" si="4"/>
        <v/>
      </c>
    </row>
    <row r="172" spans="1:14" x14ac:dyDescent="0.3">
      <c r="A172" s="33" t="str">
        <f t="shared" si="5"/>
        <v/>
      </c>
      <c r="B172" s="26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N172" s="15" t="str">
        <f t="shared" si="4"/>
        <v/>
      </c>
    </row>
    <row r="173" spans="1:14" x14ac:dyDescent="0.3">
      <c r="A173" s="33" t="str">
        <f t="shared" si="5"/>
        <v/>
      </c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N173" s="15" t="str">
        <f t="shared" si="4"/>
        <v/>
      </c>
    </row>
    <row r="174" spans="1:14" x14ac:dyDescent="0.3">
      <c r="A174" s="33" t="str">
        <f t="shared" si="5"/>
        <v/>
      </c>
      <c r="B174" s="26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N174" s="15" t="str">
        <f t="shared" si="4"/>
        <v/>
      </c>
    </row>
    <row r="175" spans="1:14" x14ac:dyDescent="0.3">
      <c r="A175" s="33" t="str">
        <f t="shared" si="5"/>
        <v/>
      </c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N175" s="15" t="str">
        <f t="shared" si="4"/>
        <v/>
      </c>
    </row>
    <row r="176" spans="1:14" x14ac:dyDescent="0.3">
      <c r="A176" s="33" t="str">
        <f t="shared" si="5"/>
        <v/>
      </c>
      <c r="B176" s="26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N176" s="15" t="str">
        <f t="shared" si="4"/>
        <v/>
      </c>
    </row>
    <row r="177" spans="1:14" x14ac:dyDescent="0.3">
      <c r="A177" s="33" t="str">
        <f t="shared" si="5"/>
        <v/>
      </c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N177" s="15" t="str">
        <f t="shared" si="4"/>
        <v/>
      </c>
    </row>
    <row r="178" spans="1:14" x14ac:dyDescent="0.3">
      <c r="A178" s="33" t="str">
        <f t="shared" si="5"/>
        <v/>
      </c>
      <c r="B178" s="26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N178" s="15" t="str">
        <f t="shared" si="4"/>
        <v/>
      </c>
    </row>
    <row r="179" spans="1:14" x14ac:dyDescent="0.3">
      <c r="A179" s="33" t="str">
        <f t="shared" si="5"/>
        <v/>
      </c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N179" s="15" t="str">
        <f t="shared" si="4"/>
        <v/>
      </c>
    </row>
    <row r="180" spans="1:14" x14ac:dyDescent="0.3">
      <c r="A180" s="33" t="str">
        <f t="shared" si="5"/>
        <v/>
      </c>
      <c r="B180" s="26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N180" s="15" t="str">
        <f t="shared" si="4"/>
        <v/>
      </c>
    </row>
    <row r="181" spans="1:14" x14ac:dyDescent="0.3">
      <c r="A181" s="33" t="str">
        <f t="shared" si="5"/>
        <v/>
      </c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N181" s="15" t="str">
        <f t="shared" si="4"/>
        <v/>
      </c>
    </row>
    <row r="182" spans="1:14" x14ac:dyDescent="0.3">
      <c r="A182" s="33" t="str">
        <f t="shared" si="5"/>
        <v/>
      </c>
      <c r="B182" s="26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N182" s="15" t="str">
        <f t="shared" si="4"/>
        <v/>
      </c>
    </row>
    <row r="183" spans="1:14" x14ac:dyDescent="0.3">
      <c r="A183" s="33" t="str">
        <f t="shared" si="5"/>
        <v/>
      </c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N183" s="15" t="str">
        <f t="shared" si="4"/>
        <v/>
      </c>
    </row>
    <row r="184" spans="1:14" x14ac:dyDescent="0.3">
      <c r="A184" s="33" t="str">
        <f t="shared" si="5"/>
        <v/>
      </c>
      <c r="B184" s="26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N184" s="15" t="str">
        <f t="shared" si="4"/>
        <v/>
      </c>
    </row>
    <row r="185" spans="1:14" x14ac:dyDescent="0.3">
      <c r="A185" s="33" t="str">
        <f t="shared" si="5"/>
        <v/>
      </c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N185" s="15" t="str">
        <f t="shared" si="4"/>
        <v/>
      </c>
    </row>
    <row r="186" spans="1:14" x14ac:dyDescent="0.3">
      <c r="A186" s="33" t="str">
        <f t="shared" si="5"/>
        <v/>
      </c>
      <c r="B186" s="26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N186" s="15" t="str">
        <f t="shared" si="4"/>
        <v/>
      </c>
    </row>
    <row r="187" spans="1:14" x14ac:dyDescent="0.3">
      <c r="A187" s="33" t="str">
        <f t="shared" si="5"/>
        <v/>
      </c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N187" s="15" t="str">
        <f t="shared" si="4"/>
        <v/>
      </c>
    </row>
    <row r="188" spans="1:14" x14ac:dyDescent="0.3">
      <c r="A188" s="33" t="str">
        <f t="shared" si="5"/>
        <v/>
      </c>
      <c r="B188" s="26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N188" s="15" t="str">
        <f t="shared" si="4"/>
        <v/>
      </c>
    </row>
    <row r="189" spans="1:14" x14ac:dyDescent="0.3">
      <c r="A189" s="33" t="str">
        <f t="shared" si="5"/>
        <v/>
      </c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N189" s="15" t="str">
        <f t="shared" si="4"/>
        <v/>
      </c>
    </row>
    <row r="190" spans="1:14" x14ac:dyDescent="0.3">
      <c r="A190" s="33" t="str">
        <f t="shared" si="5"/>
        <v/>
      </c>
      <c r="B190" s="26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N190" s="15" t="str">
        <f t="shared" si="4"/>
        <v/>
      </c>
    </row>
    <row r="191" spans="1:14" x14ac:dyDescent="0.3">
      <c r="A191" s="33" t="str">
        <f t="shared" si="5"/>
        <v/>
      </c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N191" s="15" t="str">
        <f t="shared" si="4"/>
        <v/>
      </c>
    </row>
    <row r="192" spans="1:14" x14ac:dyDescent="0.3">
      <c r="A192" s="33" t="str">
        <f t="shared" si="5"/>
        <v/>
      </c>
      <c r="B192" s="26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N192" s="15" t="str">
        <f t="shared" si="4"/>
        <v/>
      </c>
    </row>
    <row r="193" spans="1:14" x14ac:dyDescent="0.3">
      <c r="A193" s="33" t="str">
        <f t="shared" si="5"/>
        <v/>
      </c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N193" s="15" t="str">
        <f t="shared" si="4"/>
        <v/>
      </c>
    </row>
    <row r="194" spans="1:14" x14ac:dyDescent="0.3">
      <c r="A194" s="33" t="str">
        <f t="shared" si="5"/>
        <v/>
      </c>
      <c r="B194" s="26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N194" s="15" t="str">
        <f t="shared" si="4"/>
        <v/>
      </c>
    </row>
    <row r="195" spans="1:14" x14ac:dyDescent="0.3">
      <c r="A195" s="33" t="str">
        <f t="shared" si="5"/>
        <v/>
      </c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N195" s="15" t="str">
        <f t="shared" si="4"/>
        <v/>
      </c>
    </row>
    <row r="196" spans="1:14" x14ac:dyDescent="0.3">
      <c r="A196" s="33" t="str">
        <f t="shared" si="5"/>
        <v/>
      </c>
      <c r="B196" s="26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N196" s="15" t="str">
        <f t="shared" ref="N196:N259" si="6">IF(B196="","",CHOOSE(MONTH(B196),"Januari","Februari","Maret","April","Mei","Juni","Juli","Agustus","September","Oktober","November","Desember"))</f>
        <v/>
      </c>
    </row>
    <row r="197" spans="1:14" x14ac:dyDescent="0.3">
      <c r="A197" s="33" t="str">
        <f t="shared" si="5"/>
        <v/>
      </c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N197" s="15" t="str">
        <f t="shared" si="6"/>
        <v/>
      </c>
    </row>
    <row r="198" spans="1:14" x14ac:dyDescent="0.3">
      <c r="A198" s="33" t="str">
        <f t="shared" si="5"/>
        <v/>
      </c>
      <c r="B198" s="26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N198" s="15" t="str">
        <f t="shared" si="6"/>
        <v/>
      </c>
    </row>
    <row r="199" spans="1:14" x14ac:dyDescent="0.3">
      <c r="A199" s="33" t="str">
        <f t="shared" si="5"/>
        <v/>
      </c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N199" s="15" t="str">
        <f t="shared" si="6"/>
        <v/>
      </c>
    </row>
    <row r="200" spans="1:14" x14ac:dyDescent="0.3">
      <c r="A200" s="33" t="str">
        <f t="shared" si="5"/>
        <v/>
      </c>
      <c r="B200" s="26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N200" s="15" t="str">
        <f t="shared" si="6"/>
        <v/>
      </c>
    </row>
    <row r="201" spans="1:14" x14ac:dyDescent="0.3">
      <c r="A201" s="33" t="str">
        <f t="shared" ref="A201:A264" si="7">IF(B201="","",ROW()-3)</f>
        <v/>
      </c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N201" s="15" t="str">
        <f t="shared" si="6"/>
        <v/>
      </c>
    </row>
    <row r="202" spans="1:14" x14ac:dyDescent="0.3">
      <c r="A202" s="33" t="str">
        <f t="shared" si="7"/>
        <v/>
      </c>
      <c r="B202" s="26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N202" s="15" t="str">
        <f t="shared" si="6"/>
        <v/>
      </c>
    </row>
    <row r="203" spans="1:14" x14ac:dyDescent="0.3">
      <c r="A203" s="33" t="str">
        <f t="shared" si="7"/>
        <v/>
      </c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N203" s="15" t="str">
        <f t="shared" si="6"/>
        <v/>
      </c>
    </row>
    <row r="204" spans="1:14" x14ac:dyDescent="0.3">
      <c r="A204" s="33" t="str">
        <f t="shared" si="7"/>
        <v/>
      </c>
      <c r="B204" s="26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N204" s="15" t="str">
        <f t="shared" si="6"/>
        <v/>
      </c>
    </row>
    <row r="205" spans="1:14" x14ac:dyDescent="0.3">
      <c r="A205" s="33" t="str">
        <f t="shared" si="7"/>
        <v/>
      </c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N205" s="15" t="str">
        <f t="shared" si="6"/>
        <v/>
      </c>
    </row>
    <row r="206" spans="1:14" x14ac:dyDescent="0.3">
      <c r="A206" s="33" t="str">
        <f t="shared" si="7"/>
        <v/>
      </c>
      <c r="B206" s="26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N206" s="15" t="str">
        <f t="shared" si="6"/>
        <v/>
      </c>
    </row>
    <row r="207" spans="1:14" x14ac:dyDescent="0.3">
      <c r="A207" s="33" t="str">
        <f t="shared" si="7"/>
        <v/>
      </c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N207" s="15" t="str">
        <f t="shared" si="6"/>
        <v/>
      </c>
    </row>
    <row r="208" spans="1:14" x14ac:dyDescent="0.3">
      <c r="A208" s="33" t="str">
        <f t="shared" si="7"/>
        <v/>
      </c>
      <c r="B208" s="26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N208" s="15" t="str">
        <f t="shared" si="6"/>
        <v/>
      </c>
    </row>
    <row r="209" spans="1:14" x14ac:dyDescent="0.3">
      <c r="A209" s="33" t="str">
        <f t="shared" si="7"/>
        <v/>
      </c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N209" s="15" t="str">
        <f t="shared" si="6"/>
        <v/>
      </c>
    </row>
    <row r="210" spans="1:14" x14ac:dyDescent="0.3">
      <c r="A210" s="33" t="str">
        <f t="shared" si="7"/>
        <v/>
      </c>
      <c r="B210" s="26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N210" s="15" t="str">
        <f t="shared" si="6"/>
        <v/>
      </c>
    </row>
    <row r="211" spans="1:14" x14ac:dyDescent="0.3">
      <c r="A211" s="33" t="str">
        <f t="shared" si="7"/>
        <v/>
      </c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N211" s="15" t="str">
        <f t="shared" si="6"/>
        <v/>
      </c>
    </row>
    <row r="212" spans="1:14" x14ac:dyDescent="0.3">
      <c r="A212" s="33" t="str">
        <f t="shared" si="7"/>
        <v/>
      </c>
      <c r="B212" s="26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N212" s="15" t="str">
        <f t="shared" si="6"/>
        <v/>
      </c>
    </row>
    <row r="213" spans="1:14" x14ac:dyDescent="0.3">
      <c r="A213" s="33" t="str">
        <f t="shared" si="7"/>
        <v/>
      </c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N213" s="15" t="str">
        <f t="shared" si="6"/>
        <v/>
      </c>
    </row>
    <row r="214" spans="1:14" x14ac:dyDescent="0.3">
      <c r="A214" s="33" t="str">
        <f t="shared" si="7"/>
        <v/>
      </c>
      <c r="B214" s="26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N214" s="15" t="str">
        <f t="shared" si="6"/>
        <v/>
      </c>
    </row>
    <row r="215" spans="1:14" x14ac:dyDescent="0.3">
      <c r="A215" s="33" t="str">
        <f t="shared" si="7"/>
        <v/>
      </c>
      <c r="B215" s="2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N215" s="15" t="str">
        <f t="shared" si="6"/>
        <v/>
      </c>
    </row>
    <row r="216" spans="1:14" x14ac:dyDescent="0.3">
      <c r="A216" s="33" t="str">
        <f t="shared" si="7"/>
        <v/>
      </c>
      <c r="B216" s="26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N216" s="15" t="str">
        <f t="shared" si="6"/>
        <v/>
      </c>
    </row>
    <row r="217" spans="1:14" x14ac:dyDescent="0.3">
      <c r="A217" s="33" t="str">
        <f t="shared" si="7"/>
        <v/>
      </c>
      <c r="B217" s="26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N217" s="15" t="str">
        <f t="shared" si="6"/>
        <v/>
      </c>
    </row>
    <row r="218" spans="1:14" x14ac:dyDescent="0.3">
      <c r="A218" s="33" t="str">
        <f t="shared" si="7"/>
        <v/>
      </c>
      <c r="B218" s="26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N218" s="15" t="str">
        <f t="shared" si="6"/>
        <v/>
      </c>
    </row>
    <row r="219" spans="1:14" x14ac:dyDescent="0.3">
      <c r="A219" s="33" t="str">
        <f t="shared" si="7"/>
        <v/>
      </c>
      <c r="B219" s="26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N219" s="15" t="str">
        <f t="shared" si="6"/>
        <v/>
      </c>
    </row>
    <row r="220" spans="1:14" x14ac:dyDescent="0.3">
      <c r="A220" s="33" t="str">
        <f t="shared" si="7"/>
        <v/>
      </c>
      <c r="B220" s="26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N220" s="15" t="str">
        <f t="shared" si="6"/>
        <v/>
      </c>
    </row>
    <row r="221" spans="1:14" x14ac:dyDescent="0.3">
      <c r="A221" s="33" t="str">
        <f t="shared" si="7"/>
        <v/>
      </c>
      <c r="B221" s="26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N221" s="15" t="str">
        <f t="shared" si="6"/>
        <v/>
      </c>
    </row>
    <row r="222" spans="1:14" x14ac:dyDescent="0.3">
      <c r="A222" s="33" t="str">
        <f t="shared" si="7"/>
        <v/>
      </c>
      <c r="B222" s="26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N222" s="15" t="str">
        <f t="shared" si="6"/>
        <v/>
      </c>
    </row>
    <row r="223" spans="1:14" x14ac:dyDescent="0.3">
      <c r="A223" s="33" t="str">
        <f t="shared" si="7"/>
        <v/>
      </c>
      <c r="B223" s="26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N223" s="15" t="str">
        <f t="shared" si="6"/>
        <v/>
      </c>
    </row>
    <row r="224" spans="1:14" x14ac:dyDescent="0.3">
      <c r="A224" s="33" t="str">
        <f t="shared" si="7"/>
        <v/>
      </c>
      <c r="B224" s="26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N224" s="15" t="str">
        <f t="shared" si="6"/>
        <v/>
      </c>
    </row>
    <row r="225" spans="1:14" x14ac:dyDescent="0.3">
      <c r="A225" s="33" t="str">
        <f t="shared" si="7"/>
        <v/>
      </c>
      <c r="B225" s="26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N225" s="15" t="str">
        <f t="shared" si="6"/>
        <v/>
      </c>
    </row>
    <row r="226" spans="1:14" x14ac:dyDescent="0.3">
      <c r="A226" s="33" t="str">
        <f t="shared" si="7"/>
        <v/>
      </c>
      <c r="B226" s="26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N226" s="15" t="str">
        <f t="shared" si="6"/>
        <v/>
      </c>
    </row>
    <row r="227" spans="1:14" x14ac:dyDescent="0.3">
      <c r="A227" s="33" t="str">
        <f t="shared" si="7"/>
        <v/>
      </c>
      <c r="B227" s="26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N227" s="15" t="str">
        <f t="shared" si="6"/>
        <v/>
      </c>
    </row>
    <row r="228" spans="1:14" x14ac:dyDescent="0.3">
      <c r="A228" s="33" t="str">
        <f t="shared" si="7"/>
        <v/>
      </c>
      <c r="B228" s="26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N228" s="15" t="str">
        <f t="shared" si="6"/>
        <v/>
      </c>
    </row>
    <row r="229" spans="1:14" x14ac:dyDescent="0.3">
      <c r="A229" s="33" t="str">
        <f t="shared" si="7"/>
        <v/>
      </c>
      <c r="B229" s="26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N229" s="15" t="str">
        <f t="shared" si="6"/>
        <v/>
      </c>
    </row>
    <row r="230" spans="1:14" x14ac:dyDescent="0.3">
      <c r="A230" s="33" t="str">
        <f t="shared" si="7"/>
        <v/>
      </c>
      <c r="B230" s="26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N230" s="15" t="str">
        <f t="shared" si="6"/>
        <v/>
      </c>
    </row>
    <row r="231" spans="1:14" x14ac:dyDescent="0.3">
      <c r="A231" s="33" t="str">
        <f t="shared" si="7"/>
        <v/>
      </c>
      <c r="B231" s="26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N231" s="15" t="str">
        <f t="shared" si="6"/>
        <v/>
      </c>
    </row>
    <row r="232" spans="1:14" x14ac:dyDescent="0.3">
      <c r="A232" s="33" t="str">
        <f t="shared" si="7"/>
        <v/>
      </c>
      <c r="B232" s="26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N232" s="15" t="str">
        <f t="shared" si="6"/>
        <v/>
      </c>
    </row>
    <row r="233" spans="1:14" x14ac:dyDescent="0.3">
      <c r="A233" s="33" t="str">
        <f t="shared" si="7"/>
        <v/>
      </c>
      <c r="B233" s="26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N233" s="15" t="str">
        <f t="shared" si="6"/>
        <v/>
      </c>
    </row>
    <row r="234" spans="1:14" x14ac:dyDescent="0.3">
      <c r="A234" s="33" t="str">
        <f t="shared" si="7"/>
        <v/>
      </c>
      <c r="B234" s="26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N234" s="15" t="str">
        <f t="shared" si="6"/>
        <v/>
      </c>
    </row>
    <row r="235" spans="1:14" x14ac:dyDescent="0.3">
      <c r="A235" s="33" t="str">
        <f t="shared" si="7"/>
        <v/>
      </c>
      <c r="B235" s="26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N235" s="15" t="str">
        <f t="shared" si="6"/>
        <v/>
      </c>
    </row>
    <row r="236" spans="1:14" x14ac:dyDescent="0.3">
      <c r="A236" s="33" t="str">
        <f t="shared" si="7"/>
        <v/>
      </c>
      <c r="B236" s="26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N236" s="15" t="str">
        <f t="shared" si="6"/>
        <v/>
      </c>
    </row>
    <row r="237" spans="1:14" x14ac:dyDescent="0.3">
      <c r="A237" s="33" t="str">
        <f t="shared" si="7"/>
        <v/>
      </c>
      <c r="B237" s="26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N237" s="15" t="str">
        <f t="shared" si="6"/>
        <v/>
      </c>
    </row>
    <row r="238" spans="1:14" x14ac:dyDescent="0.3">
      <c r="A238" s="33" t="str">
        <f t="shared" si="7"/>
        <v/>
      </c>
      <c r="B238" s="26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N238" s="15" t="str">
        <f t="shared" si="6"/>
        <v/>
      </c>
    </row>
    <row r="239" spans="1:14" x14ac:dyDescent="0.3">
      <c r="A239" s="33" t="str">
        <f t="shared" si="7"/>
        <v/>
      </c>
      <c r="B239" s="26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N239" s="15" t="str">
        <f t="shared" si="6"/>
        <v/>
      </c>
    </row>
    <row r="240" spans="1:14" x14ac:dyDescent="0.3">
      <c r="A240" s="33" t="str">
        <f t="shared" si="7"/>
        <v/>
      </c>
      <c r="B240" s="26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N240" s="15" t="str">
        <f t="shared" si="6"/>
        <v/>
      </c>
    </row>
    <row r="241" spans="1:14" x14ac:dyDescent="0.3">
      <c r="A241" s="33" t="str">
        <f t="shared" si="7"/>
        <v/>
      </c>
      <c r="B241" s="26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N241" s="15" t="str">
        <f t="shared" si="6"/>
        <v/>
      </c>
    </row>
    <row r="242" spans="1:14" x14ac:dyDescent="0.3">
      <c r="A242" s="33" t="str">
        <f t="shared" si="7"/>
        <v/>
      </c>
      <c r="B242" s="26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N242" s="15" t="str">
        <f t="shared" si="6"/>
        <v/>
      </c>
    </row>
    <row r="243" spans="1:14" x14ac:dyDescent="0.3">
      <c r="A243" s="33" t="str">
        <f t="shared" si="7"/>
        <v/>
      </c>
      <c r="B243" s="26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N243" s="15" t="str">
        <f t="shared" si="6"/>
        <v/>
      </c>
    </row>
    <row r="244" spans="1:14" x14ac:dyDescent="0.3">
      <c r="A244" s="33" t="str">
        <f t="shared" si="7"/>
        <v/>
      </c>
      <c r="B244" s="26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N244" s="15" t="str">
        <f t="shared" si="6"/>
        <v/>
      </c>
    </row>
    <row r="245" spans="1:14" x14ac:dyDescent="0.3">
      <c r="A245" s="33" t="str">
        <f t="shared" si="7"/>
        <v/>
      </c>
      <c r="B245" s="26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N245" s="15" t="str">
        <f t="shared" si="6"/>
        <v/>
      </c>
    </row>
    <row r="246" spans="1:14" x14ac:dyDescent="0.3">
      <c r="A246" s="33" t="str">
        <f t="shared" si="7"/>
        <v/>
      </c>
      <c r="B246" s="26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N246" s="15" t="str">
        <f t="shared" si="6"/>
        <v/>
      </c>
    </row>
    <row r="247" spans="1:14" x14ac:dyDescent="0.3">
      <c r="A247" s="33" t="str">
        <f t="shared" si="7"/>
        <v/>
      </c>
      <c r="B247" s="26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N247" s="15" t="str">
        <f t="shared" si="6"/>
        <v/>
      </c>
    </row>
    <row r="248" spans="1:14" x14ac:dyDescent="0.3">
      <c r="A248" s="33" t="str">
        <f t="shared" si="7"/>
        <v/>
      </c>
      <c r="B248" s="26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N248" s="15" t="str">
        <f t="shared" si="6"/>
        <v/>
      </c>
    </row>
    <row r="249" spans="1:14" x14ac:dyDescent="0.3">
      <c r="A249" s="33" t="str">
        <f t="shared" si="7"/>
        <v/>
      </c>
      <c r="B249" s="26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N249" s="15" t="str">
        <f t="shared" si="6"/>
        <v/>
      </c>
    </row>
    <row r="250" spans="1:14" x14ac:dyDescent="0.3">
      <c r="A250" s="33" t="str">
        <f t="shared" si="7"/>
        <v/>
      </c>
      <c r="B250" s="26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N250" s="15" t="str">
        <f t="shared" si="6"/>
        <v/>
      </c>
    </row>
    <row r="251" spans="1:14" x14ac:dyDescent="0.3">
      <c r="A251" s="33" t="str">
        <f t="shared" si="7"/>
        <v/>
      </c>
      <c r="B251" s="26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N251" s="15" t="str">
        <f t="shared" si="6"/>
        <v/>
      </c>
    </row>
    <row r="252" spans="1:14" x14ac:dyDescent="0.3">
      <c r="A252" s="33" t="str">
        <f t="shared" si="7"/>
        <v/>
      </c>
      <c r="B252" s="26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N252" s="15" t="str">
        <f t="shared" si="6"/>
        <v/>
      </c>
    </row>
    <row r="253" spans="1:14" x14ac:dyDescent="0.3">
      <c r="A253" s="33" t="str">
        <f t="shared" si="7"/>
        <v/>
      </c>
      <c r="B253" s="26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N253" s="15" t="str">
        <f t="shared" si="6"/>
        <v/>
      </c>
    </row>
    <row r="254" spans="1:14" x14ac:dyDescent="0.3">
      <c r="A254" s="33" t="str">
        <f t="shared" si="7"/>
        <v/>
      </c>
      <c r="B254" s="26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N254" s="15" t="str">
        <f t="shared" si="6"/>
        <v/>
      </c>
    </row>
    <row r="255" spans="1:14" x14ac:dyDescent="0.3">
      <c r="A255" s="33" t="str">
        <f t="shared" si="7"/>
        <v/>
      </c>
      <c r="B255" s="26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N255" s="15" t="str">
        <f t="shared" si="6"/>
        <v/>
      </c>
    </row>
    <row r="256" spans="1:14" x14ac:dyDescent="0.3">
      <c r="A256" s="33" t="str">
        <f t="shared" si="7"/>
        <v/>
      </c>
      <c r="B256" s="26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N256" s="15" t="str">
        <f t="shared" si="6"/>
        <v/>
      </c>
    </row>
    <row r="257" spans="1:14" x14ac:dyDescent="0.3">
      <c r="A257" s="33" t="str">
        <f t="shared" si="7"/>
        <v/>
      </c>
      <c r="B257" s="26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N257" s="15" t="str">
        <f t="shared" si="6"/>
        <v/>
      </c>
    </row>
    <row r="258" spans="1:14" x14ac:dyDescent="0.3">
      <c r="A258" s="33" t="str">
        <f t="shared" si="7"/>
        <v/>
      </c>
      <c r="B258" s="26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N258" s="15" t="str">
        <f t="shared" si="6"/>
        <v/>
      </c>
    </row>
    <row r="259" spans="1:14" x14ac:dyDescent="0.3">
      <c r="A259" s="33" t="str">
        <f t="shared" si="7"/>
        <v/>
      </c>
      <c r="B259" s="26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N259" s="15" t="str">
        <f t="shared" si="6"/>
        <v/>
      </c>
    </row>
    <row r="260" spans="1:14" x14ac:dyDescent="0.3">
      <c r="A260" s="33" t="str">
        <f t="shared" si="7"/>
        <v/>
      </c>
      <c r="B260" s="26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N260" s="15" t="str">
        <f t="shared" ref="N260:N300" si="8">IF(B260="","",CHOOSE(MONTH(B260),"Januari","Februari","Maret","April","Mei","Juni","Juli","Agustus","September","Oktober","November","Desember"))</f>
        <v/>
      </c>
    </row>
    <row r="261" spans="1:14" x14ac:dyDescent="0.3">
      <c r="A261" s="33" t="str">
        <f t="shared" si="7"/>
        <v/>
      </c>
      <c r="B261" s="26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N261" s="15" t="str">
        <f t="shared" si="8"/>
        <v/>
      </c>
    </row>
    <row r="262" spans="1:14" x14ac:dyDescent="0.3">
      <c r="A262" s="33" t="str">
        <f t="shared" si="7"/>
        <v/>
      </c>
      <c r="B262" s="26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N262" s="15" t="str">
        <f t="shared" si="8"/>
        <v/>
      </c>
    </row>
    <row r="263" spans="1:14" x14ac:dyDescent="0.3">
      <c r="A263" s="33" t="str">
        <f t="shared" si="7"/>
        <v/>
      </c>
      <c r="B263" s="26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N263" s="15" t="str">
        <f t="shared" si="8"/>
        <v/>
      </c>
    </row>
    <row r="264" spans="1:14" x14ac:dyDescent="0.3">
      <c r="A264" s="33" t="str">
        <f t="shared" si="7"/>
        <v/>
      </c>
      <c r="B264" s="26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N264" s="15" t="str">
        <f t="shared" si="8"/>
        <v/>
      </c>
    </row>
    <row r="265" spans="1:14" x14ac:dyDescent="0.3">
      <c r="A265" s="33" t="str">
        <f t="shared" ref="A265:A328" si="9">IF(B265="","",ROW()-3)</f>
        <v/>
      </c>
      <c r="B265" s="26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N265" s="15" t="str">
        <f t="shared" si="8"/>
        <v/>
      </c>
    </row>
    <row r="266" spans="1:14" x14ac:dyDescent="0.3">
      <c r="A266" s="33" t="str">
        <f t="shared" si="9"/>
        <v/>
      </c>
      <c r="B266" s="26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N266" s="15" t="str">
        <f t="shared" si="8"/>
        <v/>
      </c>
    </row>
    <row r="267" spans="1:14" x14ac:dyDescent="0.3">
      <c r="A267" s="33" t="str">
        <f t="shared" si="9"/>
        <v/>
      </c>
      <c r="B267" s="26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N267" s="15" t="str">
        <f t="shared" si="8"/>
        <v/>
      </c>
    </row>
    <row r="268" spans="1:14" x14ac:dyDescent="0.3">
      <c r="A268" s="33" t="str">
        <f t="shared" si="9"/>
        <v/>
      </c>
      <c r="B268" s="26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N268" s="15" t="str">
        <f t="shared" si="8"/>
        <v/>
      </c>
    </row>
    <row r="269" spans="1:14" x14ac:dyDescent="0.3">
      <c r="A269" s="33" t="str">
        <f t="shared" si="9"/>
        <v/>
      </c>
      <c r="B269" s="26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N269" s="15" t="str">
        <f t="shared" si="8"/>
        <v/>
      </c>
    </row>
    <row r="270" spans="1:14" x14ac:dyDescent="0.3">
      <c r="A270" s="33" t="str">
        <f t="shared" si="9"/>
        <v/>
      </c>
      <c r="B270" s="26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N270" s="15" t="str">
        <f t="shared" si="8"/>
        <v/>
      </c>
    </row>
    <row r="271" spans="1:14" x14ac:dyDescent="0.3">
      <c r="A271" s="33" t="str">
        <f t="shared" si="9"/>
        <v/>
      </c>
      <c r="B271" s="26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N271" s="15" t="str">
        <f t="shared" si="8"/>
        <v/>
      </c>
    </row>
    <row r="272" spans="1:14" x14ac:dyDescent="0.3">
      <c r="A272" s="33" t="str">
        <f t="shared" si="9"/>
        <v/>
      </c>
      <c r="B272" s="26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N272" s="15" t="str">
        <f t="shared" si="8"/>
        <v/>
      </c>
    </row>
    <row r="273" spans="1:14" x14ac:dyDescent="0.3">
      <c r="A273" s="33" t="str">
        <f t="shared" si="9"/>
        <v/>
      </c>
      <c r="B273" s="26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N273" s="15" t="str">
        <f t="shared" si="8"/>
        <v/>
      </c>
    </row>
    <row r="274" spans="1:14" x14ac:dyDescent="0.3">
      <c r="A274" s="33" t="str">
        <f t="shared" si="9"/>
        <v/>
      </c>
      <c r="B274" s="26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N274" s="15" t="str">
        <f t="shared" si="8"/>
        <v/>
      </c>
    </row>
    <row r="275" spans="1:14" x14ac:dyDescent="0.3">
      <c r="A275" s="33" t="str">
        <f t="shared" si="9"/>
        <v/>
      </c>
      <c r="B275" s="26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N275" s="15" t="str">
        <f t="shared" si="8"/>
        <v/>
      </c>
    </row>
    <row r="276" spans="1:14" x14ac:dyDescent="0.3">
      <c r="A276" s="33" t="str">
        <f t="shared" si="9"/>
        <v/>
      </c>
      <c r="B276" s="26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N276" s="15" t="str">
        <f t="shared" si="8"/>
        <v/>
      </c>
    </row>
    <row r="277" spans="1:14" x14ac:dyDescent="0.3">
      <c r="A277" s="33" t="str">
        <f t="shared" si="9"/>
        <v/>
      </c>
      <c r="B277" s="26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N277" s="15" t="str">
        <f t="shared" si="8"/>
        <v/>
      </c>
    </row>
    <row r="278" spans="1:14" x14ac:dyDescent="0.3">
      <c r="A278" s="33" t="str">
        <f t="shared" si="9"/>
        <v/>
      </c>
      <c r="B278" s="26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N278" s="15" t="str">
        <f t="shared" si="8"/>
        <v/>
      </c>
    </row>
    <row r="279" spans="1:14" x14ac:dyDescent="0.3">
      <c r="A279" s="33" t="str">
        <f t="shared" si="9"/>
        <v/>
      </c>
      <c r="B279" s="26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N279" s="15" t="str">
        <f t="shared" si="8"/>
        <v/>
      </c>
    </row>
    <row r="280" spans="1:14" x14ac:dyDescent="0.3">
      <c r="A280" s="33" t="str">
        <f t="shared" si="9"/>
        <v/>
      </c>
      <c r="B280" s="26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N280" s="15" t="str">
        <f t="shared" si="8"/>
        <v/>
      </c>
    </row>
    <row r="281" spans="1:14" x14ac:dyDescent="0.3">
      <c r="A281" s="33" t="str">
        <f t="shared" si="9"/>
        <v/>
      </c>
      <c r="B281" s="26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N281" s="15" t="str">
        <f t="shared" si="8"/>
        <v/>
      </c>
    </row>
    <row r="282" spans="1:14" x14ac:dyDescent="0.3">
      <c r="A282" s="33" t="str">
        <f t="shared" si="9"/>
        <v/>
      </c>
      <c r="B282" s="26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N282" s="15" t="str">
        <f t="shared" si="8"/>
        <v/>
      </c>
    </row>
    <row r="283" spans="1:14" x14ac:dyDescent="0.3">
      <c r="A283" s="33" t="str">
        <f t="shared" si="9"/>
        <v/>
      </c>
      <c r="B283" s="26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N283" s="15" t="str">
        <f t="shared" si="8"/>
        <v/>
      </c>
    </row>
    <row r="284" spans="1:14" x14ac:dyDescent="0.3">
      <c r="A284" s="33" t="str">
        <f t="shared" si="9"/>
        <v/>
      </c>
      <c r="B284" s="26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N284" s="15" t="str">
        <f t="shared" si="8"/>
        <v/>
      </c>
    </row>
    <row r="285" spans="1:14" x14ac:dyDescent="0.3">
      <c r="A285" s="33" t="str">
        <f t="shared" si="9"/>
        <v/>
      </c>
      <c r="B285" s="26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N285" s="15" t="str">
        <f t="shared" si="8"/>
        <v/>
      </c>
    </row>
    <row r="286" spans="1:14" x14ac:dyDescent="0.3">
      <c r="A286" s="33" t="str">
        <f t="shared" si="9"/>
        <v/>
      </c>
      <c r="B286" s="26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N286" s="15" t="str">
        <f t="shared" si="8"/>
        <v/>
      </c>
    </row>
    <row r="287" spans="1:14" x14ac:dyDescent="0.3">
      <c r="A287" s="33" t="str">
        <f t="shared" si="9"/>
        <v/>
      </c>
      <c r="B287" s="26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N287" s="15" t="str">
        <f t="shared" si="8"/>
        <v/>
      </c>
    </row>
    <row r="288" spans="1:14" x14ac:dyDescent="0.3">
      <c r="A288" s="33" t="str">
        <f t="shared" si="9"/>
        <v/>
      </c>
      <c r="B288" s="26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N288" s="15" t="str">
        <f t="shared" si="8"/>
        <v/>
      </c>
    </row>
    <row r="289" spans="1:14" x14ac:dyDescent="0.3">
      <c r="A289" s="33" t="str">
        <f t="shared" si="9"/>
        <v/>
      </c>
      <c r="B289" s="26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N289" s="15" t="str">
        <f t="shared" si="8"/>
        <v/>
      </c>
    </row>
    <row r="290" spans="1:14" x14ac:dyDescent="0.3">
      <c r="A290" s="33" t="str">
        <f t="shared" si="9"/>
        <v/>
      </c>
      <c r="B290" s="26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N290" s="15" t="str">
        <f t="shared" si="8"/>
        <v/>
      </c>
    </row>
    <row r="291" spans="1:14" x14ac:dyDescent="0.3">
      <c r="A291" s="33" t="str">
        <f t="shared" si="9"/>
        <v/>
      </c>
      <c r="B291" s="26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N291" s="15" t="str">
        <f t="shared" si="8"/>
        <v/>
      </c>
    </row>
    <row r="292" spans="1:14" x14ac:dyDescent="0.3">
      <c r="A292" s="33" t="str">
        <f t="shared" si="9"/>
        <v/>
      </c>
      <c r="B292" s="26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N292" s="15" t="str">
        <f t="shared" si="8"/>
        <v/>
      </c>
    </row>
    <row r="293" spans="1:14" x14ac:dyDescent="0.3">
      <c r="A293" s="33" t="str">
        <f t="shared" si="9"/>
        <v/>
      </c>
      <c r="B293" s="26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N293" s="15" t="str">
        <f t="shared" si="8"/>
        <v/>
      </c>
    </row>
    <row r="294" spans="1:14" x14ac:dyDescent="0.3">
      <c r="A294" s="33" t="str">
        <f t="shared" si="9"/>
        <v/>
      </c>
      <c r="B294" s="26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N294" s="15" t="str">
        <f t="shared" si="8"/>
        <v/>
      </c>
    </row>
    <row r="295" spans="1:14" x14ac:dyDescent="0.3">
      <c r="A295" s="33" t="str">
        <f t="shared" si="9"/>
        <v/>
      </c>
      <c r="B295" s="26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N295" s="15" t="str">
        <f t="shared" si="8"/>
        <v/>
      </c>
    </row>
    <row r="296" spans="1:14" x14ac:dyDescent="0.3">
      <c r="A296" s="33" t="str">
        <f t="shared" si="9"/>
        <v/>
      </c>
      <c r="B296" s="26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N296" s="15" t="str">
        <f t="shared" si="8"/>
        <v/>
      </c>
    </row>
    <row r="297" spans="1:14" x14ac:dyDescent="0.3">
      <c r="A297" s="33" t="str">
        <f t="shared" si="9"/>
        <v/>
      </c>
      <c r="B297" s="26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N297" s="15" t="str">
        <f t="shared" si="8"/>
        <v/>
      </c>
    </row>
    <row r="298" spans="1:14" x14ac:dyDescent="0.3">
      <c r="A298" s="33" t="str">
        <f t="shared" si="9"/>
        <v/>
      </c>
      <c r="B298" s="26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N298" s="15" t="str">
        <f t="shared" si="8"/>
        <v/>
      </c>
    </row>
    <row r="299" spans="1:14" x14ac:dyDescent="0.3">
      <c r="A299" s="33" t="str">
        <f t="shared" si="9"/>
        <v/>
      </c>
      <c r="B299" s="26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N299" s="15" t="str">
        <f t="shared" si="8"/>
        <v/>
      </c>
    </row>
    <row r="300" spans="1:14" x14ac:dyDescent="0.3">
      <c r="A300" s="33" t="str">
        <f t="shared" si="9"/>
        <v/>
      </c>
      <c r="B300" s="26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N300" s="15" t="str">
        <f t="shared" si="8"/>
        <v/>
      </c>
    </row>
  </sheetData>
  <autoFilter ref="A3:N300" xr:uid="{00000000-0009-0000-0000-00000F000000}"/>
  <mergeCells count="1">
    <mergeCell ref="A1:M1"/>
  </mergeCells>
  <dataValidations count="3">
    <dataValidation type="list" allowBlank="1" sqref="C4:C300" xr:uid="{00000000-0002-0000-0F00-000000000000}">
      <formula1>DAFTAR_KATEGORI</formula1>
      <formula2>0</formula2>
    </dataValidation>
    <dataValidation type="list" allowBlank="1" sqref="H4:H300" xr:uid="{00000000-0002-0000-0F00-000001000000}">
      <formula1>"Tunai,Transfer,E-wallet,Lainnya"</formula1>
      <formula2>0</formula2>
    </dataValidation>
    <dataValidation type="list" allowBlank="1" sqref="I4:I300" xr:uid="{00000000-0002-0000-0F00-000002000000}">
      <formula1>"Ada,Tidak 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55A64"/>
  </sheetPr>
  <dimension ref="A1:H16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4" width="14" customWidth="1"/>
    <col min="5" max="5" width="15" customWidth="1"/>
    <col min="6" max="7" width="14" customWidth="1"/>
    <col min="8" max="8" width="16" customWidth="1"/>
  </cols>
  <sheetData>
    <row r="1" spans="1:8" ht="27.75" customHeight="1" x14ac:dyDescent="0.3">
      <c r="A1" s="14" t="s">
        <v>201</v>
      </c>
      <c r="B1" s="14"/>
      <c r="C1" s="14"/>
      <c r="D1" s="14"/>
      <c r="E1" s="14"/>
      <c r="F1" s="14"/>
      <c r="G1" s="14"/>
      <c r="H1" s="14"/>
    </row>
    <row r="2" spans="1:8" x14ac:dyDescent="0.3">
      <c r="A2" s="43" t="s">
        <v>202</v>
      </c>
      <c r="B2" s="43"/>
      <c r="C2" s="43"/>
      <c r="D2" s="17">
        <v>0</v>
      </c>
    </row>
    <row r="3" spans="1:8" x14ac:dyDescent="0.3">
      <c r="A3" s="18" t="s">
        <v>33</v>
      </c>
    </row>
    <row r="4" spans="1:8" ht="26.4" x14ac:dyDescent="0.3">
      <c r="A4" s="19" t="s">
        <v>203</v>
      </c>
      <c r="B4" s="19" t="s">
        <v>204</v>
      </c>
      <c r="C4" s="19" t="s">
        <v>205</v>
      </c>
      <c r="D4" s="19" t="s">
        <v>206</v>
      </c>
      <c r="E4" s="19" t="s">
        <v>207</v>
      </c>
      <c r="F4" s="19" t="s">
        <v>208</v>
      </c>
      <c r="G4" s="19" t="s">
        <v>209</v>
      </c>
      <c r="H4" s="19" t="s">
        <v>210</v>
      </c>
    </row>
    <row r="5" spans="1:8" x14ac:dyDescent="0.3">
      <c r="A5" s="23" t="s">
        <v>132</v>
      </c>
      <c r="B5" s="23">
        <f>$D$2</f>
        <v>0</v>
      </c>
      <c r="C5" s="28">
        <f>KAS_SEPTEMBER!I47</f>
        <v>25000</v>
      </c>
      <c r="D5" s="21">
        <v>0</v>
      </c>
      <c r="E5" s="23">
        <f t="shared" ref="E5:E14" si="0">C5+D5</f>
        <v>25000</v>
      </c>
      <c r="F5" s="23">
        <f t="shared" ref="F5:F14" si="1">SUMIF(PENG_BULAN,A5,PENG_JUMLAH)</f>
        <v>125000</v>
      </c>
      <c r="G5" s="34">
        <f t="shared" ref="G5:G14" si="2">B5+E5-F5</f>
        <v>-100000</v>
      </c>
      <c r="H5" s="23" t="str">
        <f t="shared" ref="H5:H14" si="3">IF(ROUND(G5-(B5+E5-F5),2)=0,"✓ SALDO SESUAI","⚠️ PERIKSA SALDO")</f>
        <v>✓ SALDO SESUAI</v>
      </c>
    </row>
    <row r="6" spans="1:8" x14ac:dyDescent="0.3">
      <c r="A6" s="23" t="s">
        <v>211</v>
      </c>
      <c r="B6" s="23">
        <f t="shared" ref="B6:B14" si="4">G5</f>
        <v>-100000</v>
      </c>
      <c r="C6" s="28">
        <f>KAS_OKTOBER!I47</f>
        <v>0</v>
      </c>
      <c r="D6" s="21">
        <v>0</v>
      </c>
      <c r="E6" s="23">
        <f t="shared" si="0"/>
        <v>0</v>
      </c>
      <c r="F6" s="23">
        <f t="shared" si="1"/>
        <v>0</v>
      </c>
      <c r="G6" s="34">
        <f t="shared" si="2"/>
        <v>-100000</v>
      </c>
      <c r="H6" s="23" t="str">
        <f t="shared" si="3"/>
        <v>✓ SALDO SESUAI</v>
      </c>
    </row>
    <row r="7" spans="1:8" x14ac:dyDescent="0.3">
      <c r="A7" s="23" t="s">
        <v>212</v>
      </c>
      <c r="B7" s="23">
        <f t="shared" si="4"/>
        <v>-100000</v>
      </c>
      <c r="C7" s="28">
        <f>KAS_NOVEMBER!I47</f>
        <v>0</v>
      </c>
      <c r="D7" s="21">
        <v>0</v>
      </c>
      <c r="E7" s="23">
        <f t="shared" si="0"/>
        <v>0</v>
      </c>
      <c r="F7" s="23">
        <f t="shared" si="1"/>
        <v>0</v>
      </c>
      <c r="G7" s="34">
        <f t="shared" si="2"/>
        <v>-100000</v>
      </c>
      <c r="H7" s="23" t="str">
        <f t="shared" si="3"/>
        <v>✓ SALDO SESUAI</v>
      </c>
    </row>
    <row r="8" spans="1:8" x14ac:dyDescent="0.3">
      <c r="A8" s="23" t="s">
        <v>213</v>
      </c>
      <c r="B8" s="23">
        <f t="shared" si="4"/>
        <v>-100000</v>
      </c>
      <c r="C8" s="28">
        <f>KAS_DESEMBER!I47</f>
        <v>0</v>
      </c>
      <c r="D8" s="21">
        <v>0</v>
      </c>
      <c r="E8" s="23">
        <f t="shared" si="0"/>
        <v>0</v>
      </c>
      <c r="F8" s="23">
        <f t="shared" si="1"/>
        <v>0</v>
      </c>
      <c r="G8" s="34">
        <f t="shared" si="2"/>
        <v>-100000</v>
      </c>
      <c r="H8" s="23" t="str">
        <f t="shared" si="3"/>
        <v>✓ SALDO SESUAI</v>
      </c>
    </row>
    <row r="9" spans="1:8" x14ac:dyDescent="0.3">
      <c r="A9" s="23" t="s">
        <v>214</v>
      </c>
      <c r="B9" s="23">
        <f t="shared" si="4"/>
        <v>-100000</v>
      </c>
      <c r="C9" s="28">
        <f>KAS_JANUARI!I47</f>
        <v>0</v>
      </c>
      <c r="D9" s="21">
        <v>0</v>
      </c>
      <c r="E9" s="23">
        <f t="shared" si="0"/>
        <v>0</v>
      </c>
      <c r="F9" s="23">
        <f t="shared" si="1"/>
        <v>0</v>
      </c>
      <c r="G9" s="34">
        <f t="shared" si="2"/>
        <v>-100000</v>
      </c>
      <c r="H9" s="23" t="str">
        <f t="shared" si="3"/>
        <v>✓ SALDO SESUAI</v>
      </c>
    </row>
    <row r="10" spans="1:8" x14ac:dyDescent="0.3">
      <c r="A10" s="23" t="s">
        <v>215</v>
      </c>
      <c r="B10" s="23">
        <f t="shared" si="4"/>
        <v>-100000</v>
      </c>
      <c r="C10" s="28">
        <f>KAS_FEBRUARI!I47</f>
        <v>0</v>
      </c>
      <c r="D10" s="21">
        <v>0</v>
      </c>
      <c r="E10" s="23">
        <f t="shared" si="0"/>
        <v>0</v>
      </c>
      <c r="F10" s="23">
        <f t="shared" si="1"/>
        <v>0</v>
      </c>
      <c r="G10" s="34">
        <f t="shared" si="2"/>
        <v>-100000</v>
      </c>
      <c r="H10" s="23" t="str">
        <f t="shared" si="3"/>
        <v>✓ SALDO SESUAI</v>
      </c>
    </row>
    <row r="11" spans="1:8" x14ac:dyDescent="0.3">
      <c r="A11" s="23" t="s">
        <v>216</v>
      </c>
      <c r="B11" s="23">
        <f t="shared" si="4"/>
        <v>-100000</v>
      </c>
      <c r="C11" s="28">
        <f>KAS_MARET!I47</f>
        <v>0</v>
      </c>
      <c r="D11" s="21">
        <v>0</v>
      </c>
      <c r="E11" s="23">
        <f t="shared" si="0"/>
        <v>0</v>
      </c>
      <c r="F11" s="23">
        <f t="shared" si="1"/>
        <v>0</v>
      </c>
      <c r="G11" s="34">
        <f t="shared" si="2"/>
        <v>-100000</v>
      </c>
      <c r="H11" s="23" t="str">
        <f t="shared" si="3"/>
        <v>✓ SALDO SESUAI</v>
      </c>
    </row>
    <row r="12" spans="1:8" x14ac:dyDescent="0.3">
      <c r="A12" s="23" t="s">
        <v>217</v>
      </c>
      <c r="B12" s="23">
        <f t="shared" si="4"/>
        <v>-100000</v>
      </c>
      <c r="C12" s="28">
        <f>KAS_APRIL!I47</f>
        <v>0</v>
      </c>
      <c r="D12" s="21">
        <v>0</v>
      </c>
      <c r="E12" s="23">
        <f t="shared" si="0"/>
        <v>0</v>
      </c>
      <c r="F12" s="23">
        <f t="shared" si="1"/>
        <v>0</v>
      </c>
      <c r="G12" s="34">
        <f t="shared" si="2"/>
        <v>-100000</v>
      </c>
      <c r="H12" s="23" t="str">
        <f t="shared" si="3"/>
        <v>✓ SALDO SESUAI</v>
      </c>
    </row>
    <row r="13" spans="1:8" x14ac:dyDescent="0.3">
      <c r="A13" s="23" t="s">
        <v>218</v>
      </c>
      <c r="B13" s="23">
        <f t="shared" si="4"/>
        <v>-100000</v>
      </c>
      <c r="C13" s="28">
        <f>KAS_MEI!I47</f>
        <v>0</v>
      </c>
      <c r="D13" s="21">
        <v>0</v>
      </c>
      <c r="E13" s="23">
        <f t="shared" si="0"/>
        <v>0</v>
      </c>
      <c r="F13" s="23">
        <f t="shared" si="1"/>
        <v>0</v>
      </c>
      <c r="G13" s="34">
        <f t="shared" si="2"/>
        <v>-100000</v>
      </c>
      <c r="H13" s="23" t="str">
        <f t="shared" si="3"/>
        <v>✓ SALDO SESUAI</v>
      </c>
    </row>
    <row r="14" spans="1:8" x14ac:dyDescent="0.3">
      <c r="A14" s="23" t="s">
        <v>219</v>
      </c>
      <c r="B14" s="23">
        <f t="shared" si="4"/>
        <v>-100000</v>
      </c>
      <c r="C14" s="28">
        <f>KAS_JUNI!I47</f>
        <v>0</v>
      </c>
      <c r="D14" s="21">
        <v>0</v>
      </c>
      <c r="E14" s="23">
        <f t="shared" si="0"/>
        <v>0</v>
      </c>
      <c r="F14" s="23">
        <f t="shared" si="1"/>
        <v>0</v>
      </c>
      <c r="G14" s="34">
        <f t="shared" si="2"/>
        <v>-100000</v>
      </c>
      <c r="H14" s="23" t="str">
        <f t="shared" si="3"/>
        <v>✓ SALDO SESUAI</v>
      </c>
    </row>
    <row r="16" spans="1:8" x14ac:dyDescent="0.3">
      <c r="A16" s="31" t="s">
        <v>220</v>
      </c>
      <c r="B16" s="35"/>
      <c r="C16" s="31">
        <f>SUM(C5:C14)</f>
        <v>25000</v>
      </c>
      <c r="D16" s="31">
        <f>SUM(D5:D14)</f>
        <v>0</v>
      </c>
      <c r="E16" s="31">
        <f>SUM(E5:E14)</f>
        <v>25000</v>
      </c>
      <c r="F16" s="31">
        <f>SUM(F5:F14)</f>
        <v>125000</v>
      </c>
      <c r="G16" s="31">
        <f>G14</f>
        <v>-100000</v>
      </c>
      <c r="H16" s="35"/>
    </row>
  </sheetData>
  <mergeCells count="2">
    <mergeCell ref="A1:H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A1B9A"/>
  </sheetPr>
  <dimension ref="A1:L1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2" customWidth="1"/>
    <col min="2" max="2" width="14" customWidth="1"/>
    <col min="3" max="4" width="13" customWidth="1"/>
    <col min="5" max="6" width="14" customWidth="1"/>
    <col min="7" max="7" width="13" customWidth="1"/>
    <col min="8" max="10" width="12" customWidth="1"/>
    <col min="11" max="12" width="14" customWidth="1"/>
  </cols>
  <sheetData>
    <row r="1" spans="1:12" ht="27.75" customHeight="1" x14ac:dyDescent="0.3">
      <c r="A1" s="14" t="s">
        <v>221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8" t="s">
        <v>222</v>
      </c>
    </row>
    <row r="3" spans="1:12" ht="26.4" x14ac:dyDescent="0.3">
      <c r="A3" s="19" t="s">
        <v>125</v>
      </c>
      <c r="B3" s="19" t="s">
        <v>223</v>
      </c>
      <c r="C3" s="19" t="s">
        <v>150</v>
      </c>
      <c r="D3" s="19" t="s">
        <v>151</v>
      </c>
      <c r="E3" s="19" t="s">
        <v>224</v>
      </c>
      <c r="F3" s="19" t="s">
        <v>225</v>
      </c>
      <c r="G3" s="19" t="s">
        <v>209</v>
      </c>
      <c r="H3" s="19" t="s">
        <v>226</v>
      </c>
      <c r="I3" s="19" t="s">
        <v>227</v>
      </c>
      <c r="J3" s="19" t="s">
        <v>228</v>
      </c>
      <c r="K3" s="19" t="s">
        <v>229</v>
      </c>
      <c r="L3" s="19" t="s">
        <v>230</v>
      </c>
    </row>
    <row r="4" spans="1:12" x14ac:dyDescent="0.3">
      <c r="A4" s="23" t="s">
        <v>132</v>
      </c>
      <c r="B4" s="23">
        <f>COUNTA(MASTER_ANGGOTA!$B$5:$B$45)</f>
        <v>41</v>
      </c>
      <c r="C4" s="28">
        <f>KAS_SEPTEMBER!H47</f>
        <v>820000</v>
      </c>
      <c r="D4" s="28">
        <f>KAS_SEPTEMBER!I47</f>
        <v>25000</v>
      </c>
      <c r="E4" s="28">
        <f>KAS_SEPTEMBER!J47</f>
        <v>795000</v>
      </c>
      <c r="F4" s="28">
        <f>SALDO!F5</f>
        <v>125000</v>
      </c>
      <c r="G4" s="28">
        <f>SALDO!G5</f>
        <v>-100000</v>
      </c>
      <c r="H4" s="36">
        <f t="shared" ref="H4:H13" si="0">IFERROR(D4/C4,0)</f>
        <v>3.048780487804878E-2</v>
      </c>
      <c r="I4" s="28">
        <f>KAS_SEPTEMBER!D48</f>
        <v>0</v>
      </c>
      <c r="J4" s="28">
        <f>KAS_SEPTEMBER!D49</f>
        <v>3</v>
      </c>
      <c r="K4" s="28">
        <f>KAS_SEPTEMBER!D50</f>
        <v>38</v>
      </c>
      <c r="L4" s="23">
        <f t="shared" ref="L4:L13" si="1">E4</f>
        <v>795000</v>
      </c>
    </row>
    <row r="5" spans="1:12" x14ac:dyDescent="0.3">
      <c r="A5" s="23" t="s">
        <v>211</v>
      </c>
      <c r="B5" s="23">
        <f>COUNTA(MASTER_ANGGOTA!$B$5:$B$45)</f>
        <v>41</v>
      </c>
      <c r="C5" s="28">
        <f>KAS_OKTOBER!H47</f>
        <v>1025000</v>
      </c>
      <c r="D5" s="28">
        <f>KAS_OKTOBER!I47</f>
        <v>0</v>
      </c>
      <c r="E5" s="28">
        <f>KAS_OKTOBER!J47</f>
        <v>1025000</v>
      </c>
      <c r="F5" s="28">
        <f>SALDO!F6</f>
        <v>0</v>
      </c>
      <c r="G5" s="28">
        <f>SALDO!G6</f>
        <v>-100000</v>
      </c>
      <c r="H5" s="36">
        <f t="shared" si="0"/>
        <v>0</v>
      </c>
      <c r="I5" s="28">
        <f>KAS_OKTOBER!D48</f>
        <v>0</v>
      </c>
      <c r="J5" s="28">
        <f>KAS_OKTOBER!D49</f>
        <v>0</v>
      </c>
      <c r="K5" s="28">
        <f>KAS_OKTOBER!D50</f>
        <v>41</v>
      </c>
      <c r="L5" s="23">
        <f t="shared" si="1"/>
        <v>1025000</v>
      </c>
    </row>
    <row r="6" spans="1:12" x14ac:dyDescent="0.3">
      <c r="A6" s="23" t="s">
        <v>212</v>
      </c>
      <c r="B6" s="23">
        <f>COUNTA(MASTER_ANGGOTA!$B$5:$B$45)</f>
        <v>41</v>
      </c>
      <c r="C6" s="28">
        <f>KAS_NOVEMBER!H47</f>
        <v>820000</v>
      </c>
      <c r="D6" s="28">
        <f>KAS_NOVEMBER!I47</f>
        <v>0</v>
      </c>
      <c r="E6" s="28">
        <f>KAS_NOVEMBER!J47</f>
        <v>820000</v>
      </c>
      <c r="F6" s="28">
        <f>SALDO!F7</f>
        <v>0</v>
      </c>
      <c r="G6" s="28">
        <f>SALDO!G7</f>
        <v>-100000</v>
      </c>
      <c r="H6" s="36">
        <f t="shared" si="0"/>
        <v>0</v>
      </c>
      <c r="I6" s="28">
        <f>KAS_NOVEMBER!D48</f>
        <v>0</v>
      </c>
      <c r="J6" s="28">
        <f>KAS_NOVEMBER!D49</f>
        <v>0</v>
      </c>
      <c r="K6" s="28">
        <f>KAS_NOVEMBER!D50</f>
        <v>41</v>
      </c>
      <c r="L6" s="23">
        <f t="shared" si="1"/>
        <v>820000</v>
      </c>
    </row>
    <row r="7" spans="1:12" x14ac:dyDescent="0.3">
      <c r="A7" s="23" t="s">
        <v>213</v>
      </c>
      <c r="B7" s="23">
        <f>COUNTA(MASTER_ANGGOTA!$B$5:$B$45)</f>
        <v>41</v>
      </c>
      <c r="C7" s="28">
        <f>KAS_DESEMBER!H47</f>
        <v>820000</v>
      </c>
      <c r="D7" s="28">
        <f>KAS_DESEMBER!I47</f>
        <v>0</v>
      </c>
      <c r="E7" s="28">
        <f>KAS_DESEMBER!J47</f>
        <v>820000</v>
      </c>
      <c r="F7" s="28">
        <f>SALDO!F8</f>
        <v>0</v>
      </c>
      <c r="G7" s="28">
        <f>SALDO!G8</f>
        <v>-100000</v>
      </c>
      <c r="H7" s="36">
        <f t="shared" si="0"/>
        <v>0</v>
      </c>
      <c r="I7" s="28">
        <f>KAS_DESEMBER!D48</f>
        <v>0</v>
      </c>
      <c r="J7" s="28">
        <f>KAS_DESEMBER!D49</f>
        <v>0</v>
      </c>
      <c r="K7" s="28">
        <f>KAS_DESEMBER!D50</f>
        <v>41</v>
      </c>
      <c r="L7" s="23">
        <f t="shared" si="1"/>
        <v>820000</v>
      </c>
    </row>
    <row r="8" spans="1:12" x14ac:dyDescent="0.3">
      <c r="A8" s="23" t="s">
        <v>214</v>
      </c>
      <c r="B8" s="23">
        <f>COUNTA(MASTER_ANGGOTA!$B$5:$B$45)</f>
        <v>41</v>
      </c>
      <c r="C8" s="28">
        <f>KAS_JANUARI!H47</f>
        <v>820000</v>
      </c>
      <c r="D8" s="28">
        <f>KAS_JANUARI!I47</f>
        <v>0</v>
      </c>
      <c r="E8" s="28">
        <f>KAS_JANUARI!J47</f>
        <v>820000</v>
      </c>
      <c r="F8" s="28">
        <f>SALDO!F9</f>
        <v>0</v>
      </c>
      <c r="G8" s="28">
        <f>SALDO!G9</f>
        <v>-100000</v>
      </c>
      <c r="H8" s="36">
        <f t="shared" si="0"/>
        <v>0</v>
      </c>
      <c r="I8" s="28">
        <f>KAS_JANUARI!D48</f>
        <v>0</v>
      </c>
      <c r="J8" s="28">
        <f>KAS_JANUARI!D49</f>
        <v>0</v>
      </c>
      <c r="K8" s="28">
        <f>KAS_JANUARI!D50</f>
        <v>41</v>
      </c>
      <c r="L8" s="23">
        <f t="shared" si="1"/>
        <v>820000</v>
      </c>
    </row>
    <row r="9" spans="1:12" x14ac:dyDescent="0.3">
      <c r="A9" s="23" t="s">
        <v>215</v>
      </c>
      <c r="B9" s="23">
        <f>COUNTA(MASTER_ANGGOTA!$B$5:$B$45)</f>
        <v>41</v>
      </c>
      <c r="C9" s="28">
        <f>KAS_FEBRUARI!H47</f>
        <v>820000</v>
      </c>
      <c r="D9" s="28">
        <f>KAS_FEBRUARI!I47</f>
        <v>0</v>
      </c>
      <c r="E9" s="28">
        <f>KAS_FEBRUARI!J47</f>
        <v>820000</v>
      </c>
      <c r="F9" s="28">
        <f>SALDO!F10</f>
        <v>0</v>
      </c>
      <c r="G9" s="28">
        <f>SALDO!G10</f>
        <v>-100000</v>
      </c>
      <c r="H9" s="36">
        <f t="shared" si="0"/>
        <v>0</v>
      </c>
      <c r="I9" s="28">
        <f>KAS_FEBRUARI!D48</f>
        <v>0</v>
      </c>
      <c r="J9" s="28">
        <f>KAS_FEBRUARI!D49</f>
        <v>0</v>
      </c>
      <c r="K9" s="28">
        <f>KAS_FEBRUARI!D50</f>
        <v>41</v>
      </c>
      <c r="L9" s="23">
        <f t="shared" si="1"/>
        <v>820000</v>
      </c>
    </row>
    <row r="10" spans="1:12" x14ac:dyDescent="0.3">
      <c r="A10" s="23" t="s">
        <v>216</v>
      </c>
      <c r="B10" s="23">
        <f>COUNTA(MASTER_ANGGOTA!$B$5:$B$45)</f>
        <v>41</v>
      </c>
      <c r="C10" s="28">
        <f>KAS_MARET!H47</f>
        <v>1025000</v>
      </c>
      <c r="D10" s="28">
        <f>KAS_MARET!I47</f>
        <v>0</v>
      </c>
      <c r="E10" s="28">
        <f>KAS_MARET!J47</f>
        <v>1025000</v>
      </c>
      <c r="F10" s="28">
        <f>SALDO!F11</f>
        <v>0</v>
      </c>
      <c r="G10" s="28">
        <f>SALDO!G11</f>
        <v>-100000</v>
      </c>
      <c r="H10" s="36">
        <f t="shared" si="0"/>
        <v>0</v>
      </c>
      <c r="I10" s="28">
        <f>KAS_MARET!D48</f>
        <v>0</v>
      </c>
      <c r="J10" s="28">
        <f>KAS_MARET!D49</f>
        <v>0</v>
      </c>
      <c r="K10" s="28">
        <f>KAS_MARET!D50</f>
        <v>41</v>
      </c>
      <c r="L10" s="23">
        <f t="shared" si="1"/>
        <v>1025000</v>
      </c>
    </row>
    <row r="11" spans="1:12" x14ac:dyDescent="0.3">
      <c r="A11" s="23" t="s">
        <v>217</v>
      </c>
      <c r="B11" s="23">
        <f>COUNTA(MASTER_ANGGOTA!$B$5:$B$45)</f>
        <v>41</v>
      </c>
      <c r="C11" s="28">
        <f>KAS_APRIL!H47</f>
        <v>820000</v>
      </c>
      <c r="D11" s="28">
        <f>KAS_APRIL!I47</f>
        <v>0</v>
      </c>
      <c r="E11" s="28">
        <f>KAS_APRIL!J47</f>
        <v>820000</v>
      </c>
      <c r="F11" s="28">
        <f>SALDO!F12</f>
        <v>0</v>
      </c>
      <c r="G11" s="28">
        <f>SALDO!G12</f>
        <v>-100000</v>
      </c>
      <c r="H11" s="36">
        <f t="shared" si="0"/>
        <v>0</v>
      </c>
      <c r="I11" s="28">
        <f>KAS_APRIL!D48</f>
        <v>0</v>
      </c>
      <c r="J11" s="28">
        <f>KAS_APRIL!D49</f>
        <v>0</v>
      </c>
      <c r="K11" s="28">
        <f>KAS_APRIL!D50</f>
        <v>41</v>
      </c>
      <c r="L11" s="23">
        <f t="shared" si="1"/>
        <v>820000</v>
      </c>
    </row>
    <row r="12" spans="1:12" x14ac:dyDescent="0.3">
      <c r="A12" s="23" t="s">
        <v>218</v>
      </c>
      <c r="B12" s="23">
        <f>COUNTA(MASTER_ANGGOTA!$B$5:$B$45)</f>
        <v>41</v>
      </c>
      <c r="C12" s="28">
        <f>KAS_MEI!H47</f>
        <v>820000</v>
      </c>
      <c r="D12" s="28">
        <f>KAS_MEI!I47</f>
        <v>0</v>
      </c>
      <c r="E12" s="28">
        <f>KAS_MEI!J47</f>
        <v>820000</v>
      </c>
      <c r="F12" s="28">
        <f>SALDO!F13</f>
        <v>0</v>
      </c>
      <c r="G12" s="28">
        <f>SALDO!G13</f>
        <v>-100000</v>
      </c>
      <c r="H12" s="36">
        <f t="shared" si="0"/>
        <v>0</v>
      </c>
      <c r="I12" s="28">
        <f>KAS_MEI!D48</f>
        <v>0</v>
      </c>
      <c r="J12" s="28">
        <f>KAS_MEI!D49</f>
        <v>0</v>
      </c>
      <c r="K12" s="28">
        <f>KAS_MEI!D50</f>
        <v>41</v>
      </c>
      <c r="L12" s="23">
        <f t="shared" si="1"/>
        <v>820000</v>
      </c>
    </row>
    <row r="13" spans="1:12" x14ac:dyDescent="0.3">
      <c r="A13" s="23" t="s">
        <v>219</v>
      </c>
      <c r="B13" s="23">
        <f>COUNTA(MASTER_ANGGOTA!$B$5:$B$45)</f>
        <v>41</v>
      </c>
      <c r="C13" s="28">
        <f>KAS_JUNI!H47</f>
        <v>820000</v>
      </c>
      <c r="D13" s="28">
        <f>KAS_JUNI!I47</f>
        <v>0</v>
      </c>
      <c r="E13" s="28">
        <f>KAS_JUNI!J47</f>
        <v>820000</v>
      </c>
      <c r="F13" s="28">
        <f>SALDO!F14</f>
        <v>0</v>
      </c>
      <c r="G13" s="28">
        <f>SALDO!G14</f>
        <v>-100000</v>
      </c>
      <c r="H13" s="36">
        <f t="shared" si="0"/>
        <v>0</v>
      </c>
      <c r="I13" s="28">
        <f>KAS_JUNI!D48</f>
        <v>0</v>
      </c>
      <c r="J13" s="28">
        <f>KAS_JUNI!D49</f>
        <v>0</v>
      </c>
      <c r="K13" s="28">
        <f>KAS_JUNI!D50</f>
        <v>41</v>
      </c>
      <c r="L13" s="23">
        <f t="shared" si="1"/>
        <v>820000</v>
      </c>
    </row>
    <row r="15" spans="1:12" x14ac:dyDescent="0.3">
      <c r="A15" s="31" t="s">
        <v>159</v>
      </c>
      <c r="B15" s="30"/>
      <c r="C15" s="31">
        <f>SUM(C4:C13)</f>
        <v>8610000</v>
      </c>
      <c r="D15" s="31">
        <f>SUM(D4:D13)</f>
        <v>25000</v>
      </c>
      <c r="E15" s="31">
        <f>SUM(E4:E13)</f>
        <v>8585000</v>
      </c>
      <c r="F15" s="31">
        <f>SUM(F4:F13)</f>
        <v>125000</v>
      </c>
      <c r="G15" s="35"/>
      <c r="H15" s="37">
        <f>IFERROR(D15/C15,0)</f>
        <v>2.9036004645760743E-3</v>
      </c>
      <c r="I15" s="35"/>
      <c r="J15" s="35"/>
      <c r="K15" s="35"/>
      <c r="L15" s="31">
        <f>SUM(L4:L13)</f>
        <v>8585000</v>
      </c>
    </row>
  </sheetData>
  <autoFilter ref="A3:L13" xr:uid="{00000000-0009-0000-0000-000011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F6C00"/>
  </sheetPr>
  <dimension ref="A1:F4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5" width="13" customWidth="1"/>
    <col min="6" max="6" width="16" customWidth="1"/>
  </cols>
  <sheetData>
    <row r="1" spans="1:6" ht="27.75" customHeight="1" x14ac:dyDescent="0.3">
      <c r="A1" s="14" t="s">
        <v>231</v>
      </c>
      <c r="B1" s="14"/>
      <c r="C1" s="14"/>
      <c r="D1" s="14"/>
      <c r="E1" s="14"/>
      <c r="F1" s="14"/>
    </row>
    <row r="2" spans="1:6" x14ac:dyDescent="0.3">
      <c r="A2" s="16" t="s">
        <v>232</v>
      </c>
      <c r="B2" s="17" t="s">
        <v>132</v>
      </c>
    </row>
    <row r="3" spans="1:6" x14ac:dyDescent="0.3">
      <c r="A3" s="18" t="s">
        <v>233</v>
      </c>
    </row>
    <row r="4" spans="1:6" x14ac:dyDescent="0.3">
      <c r="A4" s="19" t="s">
        <v>35</v>
      </c>
      <c r="B4" s="19" t="s">
        <v>125</v>
      </c>
      <c r="C4" s="19" t="s">
        <v>150</v>
      </c>
      <c r="D4" s="19" t="s">
        <v>151</v>
      </c>
      <c r="E4" s="19" t="s">
        <v>152</v>
      </c>
      <c r="F4" s="19" t="s">
        <v>11</v>
      </c>
    </row>
    <row r="5" spans="1:6" x14ac:dyDescent="0.3">
      <c r="A5" s="28" t="str">
        <f>MASTER_ANGGOTA!B5</f>
        <v>Budi</v>
      </c>
      <c r="B5" s="23" t="str">
        <f t="shared" ref="B5:B45" si="0">$B$2</f>
        <v>September</v>
      </c>
      <c r="C5" s="23">
        <f ca="1">INDIRECT("KAS_"&amp;UPPER($B$2)&amp;"!H5")</f>
        <v>20000</v>
      </c>
      <c r="D5" s="23">
        <f ca="1">INDIRECT("KAS_"&amp;UPPER($B$2)&amp;"!I5")</f>
        <v>8000</v>
      </c>
      <c r="E5" s="23">
        <f ca="1">INDIRECT("KAS_"&amp;UPPER($B$2)&amp;"!J5")</f>
        <v>12000</v>
      </c>
      <c r="F5" s="29" t="str">
        <f ca="1">INDIRECT("KAS_"&amp;UPPER($B$2)&amp;"!L5")</f>
        <v>CICILAN</v>
      </c>
    </row>
    <row r="6" spans="1:6" x14ac:dyDescent="0.3">
      <c r="A6" s="28" t="str">
        <f>MASTER_ANGGOTA!B6</f>
        <v>Andi</v>
      </c>
      <c r="B6" s="23" t="str">
        <f t="shared" si="0"/>
        <v>September</v>
      </c>
      <c r="C6" s="23">
        <f ca="1">INDIRECT("KAS_"&amp;UPPER($B$2)&amp;"!H6")</f>
        <v>20000</v>
      </c>
      <c r="D6" s="23">
        <f ca="1">INDIRECT("KAS_"&amp;UPPER($B$2)&amp;"!I6")</f>
        <v>10000</v>
      </c>
      <c r="E6" s="23">
        <f ca="1">INDIRECT("KAS_"&amp;UPPER($B$2)&amp;"!J6")</f>
        <v>10000</v>
      </c>
      <c r="F6" s="29" t="str">
        <f ca="1">INDIRECT("KAS_"&amp;UPPER($B$2)&amp;"!L6")</f>
        <v>CICILAN</v>
      </c>
    </row>
    <row r="7" spans="1:6" x14ac:dyDescent="0.3">
      <c r="A7" s="28" t="str">
        <f>MASTER_ANGGOTA!B7</f>
        <v>Citra</v>
      </c>
      <c r="B7" s="23" t="str">
        <f t="shared" si="0"/>
        <v>September</v>
      </c>
      <c r="C7" s="23">
        <f ca="1">INDIRECT("KAS_"&amp;UPPER($B$2)&amp;"!H7")</f>
        <v>20000</v>
      </c>
      <c r="D7" s="23">
        <f ca="1">INDIRECT("KAS_"&amp;UPPER($B$2)&amp;"!I7")</f>
        <v>0</v>
      </c>
      <c r="E7" s="23">
        <f ca="1">INDIRECT("KAS_"&amp;UPPER($B$2)&amp;"!J7")</f>
        <v>20000</v>
      </c>
      <c r="F7" s="29" t="str">
        <f ca="1">INDIRECT("KAS_"&amp;UPPER($B$2)&amp;"!L7")</f>
        <v>BELUM BAYAR</v>
      </c>
    </row>
    <row r="8" spans="1:6" x14ac:dyDescent="0.3">
      <c r="A8" s="28" t="str">
        <f>MASTER_ANGGOTA!B8</f>
        <v>Doni</v>
      </c>
      <c r="B8" s="23" t="str">
        <f t="shared" si="0"/>
        <v>September</v>
      </c>
      <c r="C8" s="23">
        <f ca="1">INDIRECT("KAS_"&amp;UPPER($B$2)&amp;"!H8")</f>
        <v>20000</v>
      </c>
      <c r="D8" s="23">
        <f ca="1">INDIRECT("KAS_"&amp;UPPER($B$2)&amp;"!I8")</f>
        <v>7000</v>
      </c>
      <c r="E8" s="23">
        <f ca="1">INDIRECT("KAS_"&amp;UPPER($B$2)&amp;"!J8")</f>
        <v>13000</v>
      </c>
      <c r="F8" s="29" t="str">
        <f ca="1">INDIRECT("KAS_"&amp;UPPER($B$2)&amp;"!L8")</f>
        <v>CICILAN</v>
      </c>
    </row>
    <row r="9" spans="1:6" x14ac:dyDescent="0.3">
      <c r="A9" s="28" t="str">
        <f>MASTER_ANGGOTA!B9</f>
        <v>Nama Siswa 5</v>
      </c>
      <c r="B9" s="23" t="str">
        <f t="shared" si="0"/>
        <v>September</v>
      </c>
      <c r="C9" s="23">
        <f ca="1">INDIRECT("KAS_"&amp;UPPER($B$2)&amp;"!H9")</f>
        <v>20000</v>
      </c>
      <c r="D9" s="23">
        <f ca="1">INDIRECT("KAS_"&amp;UPPER($B$2)&amp;"!I9")</f>
        <v>0</v>
      </c>
      <c r="E9" s="23">
        <f ca="1">INDIRECT("KAS_"&amp;UPPER($B$2)&amp;"!J9")</f>
        <v>20000</v>
      </c>
      <c r="F9" s="29" t="str">
        <f ca="1">INDIRECT("KAS_"&amp;UPPER($B$2)&amp;"!L9")</f>
        <v>BELUM BAYAR</v>
      </c>
    </row>
    <row r="10" spans="1:6" x14ac:dyDescent="0.3">
      <c r="A10" s="28" t="str">
        <f>MASTER_ANGGOTA!B10</f>
        <v>Nama Siswa 6</v>
      </c>
      <c r="B10" s="23" t="str">
        <f t="shared" si="0"/>
        <v>September</v>
      </c>
      <c r="C10" s="23">
        <f ca="1">INDIRECT("KAS_"&amp;UPPER($B$2)&amp;"!H10")</f>
        <v>20000</v>
      </c>
      <c r="D10" s="23">
        <f ca="1">INDIRECT("KAS_"&amp;UPPER($B$2)&amp;"!I10")</f>
        <v>0</v>
      </c>
      <c r="E10" s="23">
        <f ca="1">INDIRECT("KAS_"&amp;UPPER($B$2)&amp;"!J10")</f>
        <v>20000</v>
      </c>
      <c r="F10" s="29" t="str">
        <f ca="1">INDIRECT("KAS_"&amp;UPPER($B$2)&amp;"!L10")</f>
        <v>BELUM BAYAR</v>
      </c>
    </row>
    <row r="11" spans="1:6" x14ac:dyDescent="0.3">
      <c r="A11" s="28" t="str">
        <f>MASTER_ANGGOTA!B11</f>
        <v>Nama Siswa 7</v>
      </c>
      <c r="B11" s="23" t="str">
        <f t="shared" si="0"/>
        <v>September</v>
      </c>
      <c r="C11" s="23">
        <f ca="1">INDIRECT("KAS_"&amp;UPPER($B$2)&amp;"!H11")</f>
        <v>20000</v>
      </c>
      <c r="D11" s="23">
        <f ca="1">INDIRECT("KAS_"&amp;UPPER($B$2)&amp;"!I11")</f>
        <v>0</v>
      </c>
      <c r="E11" s="23">
        <f ca="1">INDIRECT("KAS_"&amp;UPPER($B$2)&amp;"!J11")</f>
        <v>20000</v>
      </c>
      <c r="F11" s="29" t="str">
        <f ca="1">INDIRECT("KAS_"&amp;UPPER($B$2)&amp;"!L11")</f>
        <v>BELUM BAYAR</v>
      </c>
    </row>
    <row r="12" spans="1:6" x14ac:dyDescent="0.3">
      <c r="A12" s="28" t="str">
        <f>MASTER_ANGGOTA!B12</f>
        <v>Nama Siswa 8</v>
      </c>
      <c r="B12" s="23" t="str">
        <f t="shared" si="0"/>
        <v>September</v>
      </c>
      <c r="C12" s="23">
        <f ca="1">INDIRECT("KAS_"&amp;UPPER($B$2)&amp;"!H12")</f>
        <v>20000</v>
      </c>
      <c r="D12" s="23">
        <f ca="1">INDIRECT("KAS_"&amp;UPPER($B$2)&amp;"!I12")</f>
        <v>0</v>
      </c>
      <c r="E12" s="23">
        <f ca="1">INDIRECT("KAS_"&amp;UPPER($B$2)&amp;"!J12")</f>
        <v>20000</v>
      </c>
      <c r="F12" s="29" t="str">
        <f ca="1">INDIRECT("KAS_"&amp;UPPER($B$2)&amp;"!L12")</f>
        <v>BELUM BAYAR</v>
      </c>
    </row>
    <row r="13" spans="1:6" x14ac:dyDescent="0.3">
      <c r="A13" s="28" t="str">
        <f>MASTER_ANGGOTA!B13</f>
        <v>Nama Siswa 9</v>
      </c>
      <c r="B13" s="23" t="str">
        <f t="shared" si="0"/>
        <v>September</v>
      </c>
      <c r="C13" s="23">
        <f ca="1">INDIRECT("KAS_"&amp;UPPER($B$2)&amp;"!H13")</f>
        <v>20000</v>
      </c>
      <c r="D13" s="23">
        <f ca="1">INDIRECT("KAS_"&amp;UPPER($B$2)&amp;"!I13")</f>
        <v>0</v>
      </c>
      <c r="E13" s="23">
        <f ca="1">INDIRECT("KAS_"&amp;UPPER($B$2)&amp;"!J13")</f>
        <v>20000</v>
      </c>
      <c r="F13" s="29" t="str">
        <f ca="1">INDIRECT("KAS_"&amp;UPPER($B$2)&amp;"!L13")</f>
        <v>BELUM BAYAR</v>
      </c>
    </row>
    <row r="14" spans="1:6" x14ac:dyDescent="0.3">
      <c r="A14" s="28" t="str">
        <f>MASTER_ANGGOTA!B14</f>
        <v>Nama Siswa 10</v>
      </c>
      <c r="B14" s="23" t="str">
        <f t="shared" si="0"/>
        <v>September</v>
      </c>
      <c r="C14" s="23">
        <f ca="1">INDIRECT("KAS_"&amp;UPPER($B$2)&amp;"!H14")</f>
        <v>20000</v>
      </c>
      <c r="D14" s="23">
        <f ca="1">INDIRECT("KAS_"&amp;UPPER($B$2)&amp;"!I14")</f>
        <v>0</v>
      </c>
      <c r="E14" s="23">
        <f ca="1">INDIRECT("KAS_"&amp;UPPER($B$2)&amp;"!J14")</f>
        <v>20000</v>
      </c>
      <c r="F14" s="29" t="str">
        <f ca="1">INDIRECT("KAS_"&amp;UPPER($B$2)&amp;"!L14")</f>
        <v>BELUM BAYAR</v>
      </c>
    </row>
    <row r="15" spans="1:6" x14ac:dyDescent="0.3">
      <c r="A15" s="28" t="str">
        <f>MASTER_ANGGOTA!B15</f>
        <v>Nama Siswa 11</v>
      </c>
      <c r="B15" s="23" t="str">
        <f t="shared" si="0"/>
        <v>September</v>
      </c>
      <c r="C15" s="23">
        <f ca="1">INDIRECT("KAS_"&amp;UPPER($B$2)&amp;"!H15")</f>
        <v>20000</v>
      </c>
      <c r="D15" s="23">
        <f ca="1">INDIRECT("KAS_"&amp;UPPER($B$2)&amp;"!I15")</f>
        <v>0</v>
      </c>
      <c r="E15" s="23">
        <f ca="1">INDIRECT("KAS_"&amp;UPPER($B$2)&amp;"!J15")</f>
        <v>20000</v>
      </c>
      <c r="F15" s="29" t="str">
        <f ca="1">INDIRECT("KAS_"&amp;UPPER($B$2)&amp;"!L15")</f>
        <v>BELUM BAYAR</v>
      </c>
    </row>
    <row r="16" spans="1:6" x14ac:dyDescent="0.3">
      <c r="A16" s="28" t="str">
        <f>MASTER_ANGGOTA!B16</f>
        <v>Nama Siswa 12</v>
      </c>
      <c r="B16" s="23" t="str">
        <f t="shared" si="0"/>
        <v>September</v>
      </c>
      <c r="C16" s="23">
        <f ca="1">INDIRECT("KAS_"&amp;UPPER($B$2)&amp;"!H16")</f>
        <v>20000</v>
      </c>
      <c r="D16" s="23">
        <f ca="1">INDIRECT("KAS_"&amp;UPPER($B$2)&amp;"!I16")</f>
        <v>0</v>
      </c>
      <c r="E16" s="23">
        <f ca="1">INDIRECT("KAS_"&amp;UPPER($B$2)&amp;"!J16")</f>
        <v>20000</v>
      </c>
      <c r="F16" s="29" t="str">
        <f ca="1">INDIRECT("KAS_"&amp;UPPER($B$2)&amp;"!L16")</f>
        <v>BELUM BAYAR</v>
      </c>
    </row>
    <row r="17" spans="1:6" x14ac:dyDescent="0.3">
      <c r="A17" s="28" t="str">
        <f>MASTER_ANGGOTA!B17</f>
        <v>Nama Siswa 13</v>
      </c>
      <c r="B17" s="23" t="str">
        <f t="shared" si="0"/>
        <v>September</v>
      </c>
      <c r="C17" s="23">
        <f ca="1">INDIRECT("KAS_"&amp;UPPER($B$2)&amp;"!H17")</f>
        <v>20000</v>
      </c>
      <c r="D17" s="23">
        <f ca="1">INDIRECT("KAS_"&amp;UPPER($B$2)&amp;"!I17")</f>
        <v>0</v>
      </c>
      <c r="E17" s="23">
        <f ca="1">INDIRECT("KAS_"&amp;UPPER($B$2)&amp;"!J17")</f>
        <v>20000</v>
      </c>
      <c r="F17" s="29" t="str">
        <f ca="1">INDIRECT("KAS_"&amp;UPPER($B$2)&amp;"!L17")</f>
        <v>BELUM BAYAR</v>
      </c>
    </row>
    <row r="18" spans="1:6" x14ac:dyDescent="0.3">
      <c r="A18" s="28" t="str">
        <f>MASTER_ANGGOTA!B18</f>
        <v>Nama Siswa 14</v>
      </c>
      <c r="B18" s="23" t="str">
        <f t="shared" si="0"/>
        <v>September</v>
      </c>
      <c r="C18" s="23">
        <f ca="1">INDIRECT("KAS_"&amp;UPPER($B$2)&amp;"!H18")</f>
        <v>20000</v>
      </c>
      <c r="D18" s="23">
        <f ca="1">INDIRECT("KAS_"&amp;UPPER($B$2)&amp;"!I18")</f>
        <v>0</v>
      </c>
      <c r="E18" s="23">
        <f ca="1">INDIRECT("KAS_"&amp;UPPER($B$2)&amp;"!J18")</f>
        <v>20000</v>
      </c>
      <c r="F18" s="29" t="str">
        <f ca="1">INDIRECT("KAS_"&amp;UPPER($B$2)&amp;"!L18")</f>
        <v>BELUM BAYAR</v>
      </c>
    </row>
    <row r="19" spans="1:6" x14ac:dyDescent="0.3">
      <c r="A19" s="28" t="str">
        <f>MASTER_ANGGOTA!B19</f>
        <v>Nama Siswa 15</v>
      </c>
      <c r="B19" s="23" t="str">
        <f t="shared" si="0"/>
        <v>September</v>
      </c>
      <c r="C19" s="23">
        <f ca="1">INDIRECT("KAS_"&amp;UPPER($B$2)&amp;"!H19")</f>
        <v>20000</v>
      </c>
      <c r="D19" s="23">
        <f ca="1">INDIRECT("KAS_"&amp;UPPER($B$2)&amp;"!I19")</f>
        <v>0</v>
      </c>
      <c r="E19" s="23">
        <f ca="1">INDIRECT("KAS_"&amp;UPPER($B$2)&amp;"!J19")</f>
        <v>20000</v>
      </c>
      <c r="F19" s="29" t="str">
        <f ca="1">INDIRECT("KAS_"&amp;UPPER($B$2)&amp;"!L19")</f>
        <v>BELUM BAYAR</v>
      </c>
    </row>
    <row r="20" spans="1:6" x14ac:dyDescent="0.3">
      <c r="A20" s="28" t="str">
        <f>MASTER_ANGGOTA!B20</f>
        <v>Nama Siswa 16</v>
      </c>
      <c r="B20" s="23" t="str">
        <f t="shared" si="0"/>
        <v>September</v>
      </c>
      <c r="C20" s="23">
        <f ca="1">INDIRECT("KAS_"&amp;UPPER($B$2)&amp;"!H20")</f>
        <v>20000</v>
      </c>
      <c r="D20" s="23">
        <f ca="1">INDIRECT("KAS_"&amp;UPPER($B$2)&amp;"!I20")</f>
        <v>0</v>
      </c>
      <c r="E20" s="23">
        <f ca="1">INDIRECT("KAS_"&amp;UPPER($B$2)&amp;"!J20")</f>
        <v>20000</v>
      </c>
      <c r="F20" s="29" t="str">
        <f ca="1">INDIRECT("KAS_"&amp;UPPER($B$2)&amp;"!L20")</f>
        <v>BELUM BAYAR</v>
      </c>
    </row>
    <row r="21" spans="1:6" x14ac:dyDescent="0.3">
      <c r="A21" s="28" t="str">
        <f>MASTER_ANGGOTA!B21</f>
        <v>Nama Siswa 17</v>
      </c>
      <c r="B21" s="23" t="str">
        <f t="shared" si="0"/>
        <v>September</v>
      </c>
      <c r="C21" s="23">
        <f ca="1">INDIRECT("KAS_"&amp;UPPER($B$2)&amp;"!H21")</f>
        <v>20000</v>
      </c>
      <c r="D21" s="23">
        <f ca="1">INDIRECT("KAS_"&amp;UPPER($B$2)&amp;"!I21")</f>
        <v>0</v>
      </c>
      <c r="E21" s="23">
        <f ca="1">INDIRECT("KAS_"&amp;UPPER($B$2)&amp;"!J21")</f>
        <v>20000</v>
      </c>
      <c r="F21" s="29" t="str">
        <f ca="1">INDIRECT("KAS_"&amp;UPPER($B$2)&amp;"!L21")</f>
        <v>BELUM BAYAR</v>
      </c>
    </row>
    <row r="22" spans="1:6" x14ac:dyDescent="0.3">
      <c r="A22" s="28" t="str">
        <f>MASTER_ANGGOTA!B22</f>
        <v>Nama Siswa 18</v>
      </c>
      <c r="B22" s="23" t="str">
        <f t="shared" si="0"/>
        <v>September</v>
      </c>
      <c r="C22" s="23">
        <f ca="1">INDIRECT("KAS_"&amp;UPPER($B$2)&amp;"!H22")</f>
        <v>20000</v>
      </c>
      <c r="D22" s="23">
        <f ca="1">INDIRECT("KAS_"&amp;UPPER($B$2)&amp;"!I22")</f>
        <v>0</v>
      </c>
      <c r="E22" s="23">
        <f ca="1">INDIRECT("KAS_"&amp;UPPER($B$2)&amp;"!J22")</f>
        <v>20000</v>
      </c>
      <c r="F22" s="29" t="str">
        <f ca="1">INDIRECT("KAS_"&amp;UPPER($B$2)&amp;"!L22")</f>
        <v>BELUM BAYAR</v>
      </c>
    </row>
    <row r="23" spans="1:6" x14ac:dyDescent="0.3">
      <c r="A23" s="28" t="str">
        <f>MASTER_ANGGOTA!B23</f>
        <v>Nama Siswa 19</v>
      </c>
      <c r="B23" s="23" t="str">
        <f t="shared" si="0"/>
        <v>September</v>
      </c>
      <c r="C23" s="23">
        <f ca="1">INDIRECT("KAS_"&amp;UPPER($B$2)&amp;"!H23")</f>
        <v>20000</v>
      </c>
      <c r="D23" s="23">
        <f ca="1">INDIRECT("KAS_"&amp;UPPER($B$2)&amp;"!I23")</f>
        <v>0</v>
      </c>
      <c r="E23" s="23">
        <f ca="1">INDIRECT("KAS_"&amp;UPPER($B$2)&amp;"!J23")</f>
        <v>20000</v>
      </c>
      <c r="F23" s="29" t="str">
        <f ca="1">INDIRECT("KAS_"&amp;UPPER($B$2)&amp;"!L23")</f>
        <v>BELUM BAYAR</v>
      </c>
    </row>
    <row r="24" spans="1:6" x14ac:dyDescent="0.3">
      <c r="A24" s="28" t="str">
        <f>MASTER_ANGGOTA!B24</f>
        <v>Nama Siswa 20</v>
      </c>
      <c r="B24" s="23" t="str">
        <f t="shared" si="0"/>
        <v>September</v>
      </c>
      <c r="C24" s="23">
        <f ca="1">INDIRECT("KAS_"&amp;UPPER($B$2)&amp;"!H24")</f>
        <v>20000</v>
      </c>
      <c r="D24" s="23">
        <f ca="1">INDIRECT("KAS_"&amp;UPPER($B$2)&amp;"!I24")</f>
        <v>0</v>
      </c>
      <c r="E24" s="23">
        <f ca="1">INDIRECT("KAS_"&amp;UPPER($B$2)&amp;"!J24")</f>
        <v>20000</v>
      </c>
      <c r="F24" s="29" t="str">
        <f ca="1">INDIRECT("KAS_"&amp;UPPER($B$2)&amp;"!L24")</f>
        <v>BELUM BAYAR</v>
      </c>
    </row>
    <row r="25" spans="1:6" x14ac:dyDescent="0.3">
      <c r="A25" s="28" t="str">
        <f>MASTER_ANGGOTA!B25</f>
        <v>Nama Siswa 21</v>
      </c>
      <c r="B25" s="23" t="str">
        <f t="shared" si="0"/>
        <v>September</v>
      </c>
      <c r="C25" s="23">
        <f ca="1">INDIRECT("KAS_"&amp;UPPER($B$2)&amp;"!H25")</f>
        <v>20000</v>
      </c>
      <c r="D25" s="23">
        <f ca="1">INDIRECT("KAS_"&amp;UPPER($B$2)&amp;"!I25")</f>
        <v>0</v>
      </c>
      <c r="E25" s="23">
        <f ca="1">INDIRECT("KAS_"&amp;UPPER($B$2)&amp;"!J25")</f>
        <v>20000</v>
      </c>
      <c r="F25" s="29" t="str">
        <f ca="1">INDIRECT("KAS_"&amp;UPPER($B$2)&amp;"!L25")</f>
        <v>BELUM BAYAR</v>
      </c>
    </row>
    <row r="26" spans="1:6" x14ac:dyDescent="0.3">
      <c r="A26" s="28" t="str">
        <f>MASTER_ANGGOTA!B26</f>
        <v>Nama Siswa 22</v>
      </c>
      <c r="B26" s="23" t="str">
        <f t="shared" si="0"/>
        <v>September</v>
      </c>
      <c r="C26" s="23">
        <f ca="1">INDIRECT("KAS_"&amp;UPPER($B$2)&amp;"!H26")</f>
        <v>20000</v>
      </c>
      <c r="D26" s="23">
        <f ca="1">INDIRECT("KAS_"&amp;UPPER($B$2)&amp;"!I26")</f>
        <v>0</v>
      </c>
      <c r="E26" s="23">
        <f ca="1">INDIRECT("KAS_"&amp;UPPER($B$2)&amp;"!J26")</f>
        <v>20000</v>
      </c>
      <c r="F26" s="29" t="str">
        <f ca="1">INDIRECT("KAS_"&amp;UPPER($B$2)&amp;"!L26")</f>
        <v>BELUM BAYAR</v>
      </c>
    </row>
    <row r="27" spans="1:6" x14ac:dyDescent="0.3">
      <c r="A27" s="28" t="str">
        <f>MASTER_ANGGOTA!B27</f>
        <v>Nama Siswa 23</v>
      </c>
      <c r="B27" s="23" t="str">
        <f t="shared" si="0"/>
        <v>September</v>
      </c>
      <c r="C27" s="23">
        <f ca="1">INDIRECT("KAS_"&amp;UPPER($B$2)&amp;"!H27")</f>
        <v>20000</v>
      </c>
      <c r="D27" s="23">
        <f ca="1">INDIRECT("KAS_"&amp;UPPER($B$2)&amp;"!I27")</f>
        <v>0</v>
      </c>
      <c r="E27" s="23">
        <f ca="1">INDIRECT("KAS_"&amp;UPPER($B$2)&amp;"!J27")</f>
        <v>20000</v>
      </c>
      <c r="F27" s="29" t="str">
        <f ca="1">INDIRECT("KAS_"&amp;UPPER($B$2)&amp;"!L27")</f>
        <v>BELUM BAYAR</v>
      </c>
    </row>
    <row r="28" spans="1:6" x14ac:dyDescent="0.3">
      <c r="A28" s="28" t="str">
        <f>MASTER_ANGGOTA!B28</f>
        <v>Nama Siswa 24</v>
      </c>
      <c r="B28" s="23" t="str">
        <f t="shared" si="0"/>
        <v>September</v>
      </c>
      <c r="C28" s="23">
        <f ca="1">INDIRECT("KAS_"&amp;UPPER($B$2)&amp;"!H28")</f>
        <v>20000</v>
      </c>
      <c r="D28" s="23">
        <f ca="1">INDIRECT("KAS_"&amp;UPPER($B$2)&amp;"!I28")</f>
        <v>0</v>
      </c>
      <c r="E28" s="23">
        <f ca="1">INDIRECT("KAS_"&amp;UPPER($B$2)&amp;"!J28")</f>
        <v>20000</v>
      </c>
      <c r="F28" s="29" t="str">
        <f ca="1">INDIRECT("KAS_"&amp;UPPER($B$2)&amp;"!L28")</f>
        <v>BELUM BAYAR</v>
      </c>
    </row>
    <row r="29" spans="1:6" x14ac:dyDescent="0.3">
      <c r="A29" s="28" t="str">
        <f>MASTER_ANGGOTA!B29</f>
        <v>Nama Siswa 25</v>
      </c>
      <c r="B29" s="23" t="str">
        <f t="shared" si="0"/>
        <v>September</v>
      </c>
      <c r="C29" s="23">
        <f ca="1">INDIRECT("KAS_"&amp;UPPER($B$2)&amp;"!H29")</f>
        <v>20000</v>
      </c>
      <c r="D29" s="23">
        <f ca="1">INDIRECT("KAS_"&amp;UPPER($B$2)&amp;"!I29")</f>
        <v>0</v>
      </c>
      <c r="E29" s="23">
        <f ca="1">INDIRECT("KAS_"&amp;UPPER($B$2)&amp;"!J29")</f>
        <v>20000</v>
      </c>
      <c r="F29" s="29" t="str">
        <f ca="1">INDIRECT("KAS_"&amp;UPPER($B$2)&amp;"!L29")</f>
        <v>BELUM BAYAR</v>
      </c>
    </row>
    <row r="30" spans="1:6" x14ac:dyDescent="0.3">
      <c r="A30" s="28" t="str">
        <f>MASTER_ANGGOTA!B30</f>
        <v>Nama Siswa 26</v>
      </c>
      <c r="B30" s="23" t="str">
        <f t="shared" si="0"/>
        <v>September</v>
      </c>
      <c r="C30" s="23">
        <f ca="1">INDIRECT("KAS_"&amp;UPPER($B$2)&amp;"!H30")</f>
        <v>20000</v>
      </c>
      <c r="D30" s="23">
        <f ca="1">INDIRECT("KAS_"&amp;UPPER($B$2)&amp;"!I30")</f>
        <v>0</v>
      </c>
      <c r="E30" s="23">
        <f ca="1">INDIRECT("KAS_"&amp;UPPER($B$2)&amp;"!J30")</f>
        <v>20000</v>
      </c>
      <c r="F30" s="29" t="str">
        <f ca="1">INDIRECT("KAS_"&amp;UPPER($B$2)&amp;"!L30")</f>
        <v>BELUM BAYAR</v>
      </c>
    </row>
    <row r="31" spans="1:6" x14ac:dyDescent="0.3">
      <c r="A31" s="28" t="str">
        <f>MASTER_ANGGOTA!B31</f>
        <v>Nama Siswa 27</v>
      </c>
      <c r="B31" s="23" t="str">
        <f t="shared" si="0"/>
        <v>September</v>
      </c>
      <c r="C31" s="23">
        <f ca="1">INDIRECT("KAS_"&amp;UPPER($B$2)&amp;"!H31")</f>
        <v>20000</v>
      </c>
      <c r="D31" s="23">
        <f ca="1">INDIRECT("KAS_"&amp;UPPER($B$2)&amp;"!I31")</f>
        <v>0</v>
      </c>
      <c r="E31" s="23">
        <f ca="1">INDIRECT("KAS_"&amp;UPPER($B$2)&amp;"!J31")</f>
        <v>20000</v>
      </c>
      <c r="F31" s="29" t="str">
        <f ca="1">INDIRECT("KAS_"&amp;UPPER($B$2)&amp;"!L31")</f>
        <v>BELUM BAYAR</v>
      </c>
    </row>
    <row r="32" spans="1:6" x14ac:dyDescent="0.3">
      <c r="A32" s="28" t="str">
        <f>MASTER_ANGGOTA!B32</f>
        <v>Nama Siswa 28</v>
      </c>
      <c r="B32" s="23" t="str">
        <f t="shared" si="0"/>
        <v>September</v>
      </c>
      <c r="C32" s="23">
        <f ca="1">INDIRECT("KAS_"&amp;UPPER($B$2)&amp;"!H32")</f>
        <v>20000</v>
      </c>
      <c r="D32" s="23">
        <f ca="1">INDIRECT("KAS_"&amp;UPPER($B$2)&amp;"!I32")</f>
        <v>0</v>
      </c>
      <c r="E32" s="23">
        <f ca="1">INDIRECT("KAS_"&amp;UPPER($B$2)&amp;"!J32")</f>
        <v>20000</v>
      </c>
      <c r="F32" s="29" t="str">
        <f ca="1">INDIRECT("KAS_"&amp;UPPER($B$2)&amp;"!L32")</f>
        <v>BELUM BAYAR</v>
      </c>
    </row>
    <row r="33" spans="1:6" x14ac:dyDescent="0.3">
      <c r="A33" s="28" t="str">
        <f>MASTER_ANGGOTA!B33</f>
        <v>Nama Siswa 29</v>
      </c>
      <c r="B33" s="23" t="str">
        <f t="shared" si="0"/>
        <v>September</v>
      </c>
      <c r="C33" s="23">
        <f ca="1">INDIRECT("KAS_"&amp;UPPER($B$2)&amp;"!H33")</f>
        <v>20000</v>
      </c>
      <c r="D33" s="23">
        <f ca="1">INDIRECT("KAS_"&amp;UPPER($B$2)&amp;"!I33")</f>
        <v>0</v>
      </c>
      <c r="E33" s="23">
        <f ca="1">INDIRECT("KAS_"&amp;UPPER($B$2)&amp;"!J33")</f>
        <v>20000</v>
      </c>
      <c r="F33" s="29" t="str">
        <f ca="1">INDIRECT("KAS_"&amp;UPPER($B$2)&amp;"!L33")</f>
        <v>BELUM BAYAR</v>
      </c>
    </row>
    <row r="34" spans="1:6" x14ac:dyDescent="0.3">
      <c r="A34" s="28" t="str">
        <f>MASTER_ANGGOTA!B34</f>
        <v>Nama Siswa 30</v>
      </c>
      <c r="B34" s="23" t="str">
        <f t="shared" si="0"/>
        <v>September</v>
      </c>
      <c r="C34" s="23">
        <f ca="1">INDIRECT("KAS_"&amp;UPPER($B$2)&amp;"!H34")</f>
        <v>20000</v>
      </c>
      <c r="D34" s="23">
        <f ca="1">INDIRECT("KAS_"&amp;UPPER($B$2)&amp;"!I34")</f>
        <v>0</v>
      </c>
      <c r="E34" s="23">
        <f ca="1">INDIRECT("KAS_"&amp;UPPER($B$2)&amp;"!J34")</f>
        <v>20000</v>
      </c>
      <c r="F34" s="29" t="str">
        <f ca="1">INDIRECT("KAS_"&amp;UPPER($B$2)&amp;"!L34")</f>
        <v>BELUM BAYAR</v>
      </c>
    </row>
    <row r="35" spans="1:6" x14ac:dyDescent="0.3">
      <c r="A35" s="28" t="str">
        <f>MASTER_ANGGOTA!B35</f>
        <v>Nama Siswa 31</v>
      </c>
      <c r="B35" s="23" t="str">
        <f t="shared" si="0"/>
        <v>September</v>
      </c>
      <c r="C35" s="23">
        <f ca="1">INDIRECT("KAS_"&amp;UPPER($B$2)&amp;"!H35")</f>
        <v>20000</v>
      </c>
      <c r="D35" s="23">
        <f ca="1">INDIRECT("KAS_"&amp;UPPER($B$2)&amp;"!I35")</f>
        <v>0</v>
      </c>
      <c r="E35" s="23">
        <f ca="1">INDIRECT("KAS_"&amp;UPPER($B$2)&amp;"!J35")</f>
        <v>20000</v>
      </c>
      <c r="F35" s="29" t="str">
        <f ca="1">INDIRECT("KAS_"&amp;UPPER($B$2)&amp;"!L35")</f>
        <v>BELUM BAYAR</v>
      </c>
    </row>
    <row r="36" spans="1:6" x14ac:dyDescent="0.3">
      <c r="A36" s="28" t="str">
        <f>MASTER_ANGGOTA!B36</f>
        <v>Nama Siswa 32</v>
      </c>
      <c r="B36" s="23" t="str">
        <f t="shared" si="0"/>
        <v>September</v>
      </c>
      <c r="C36" s="23">
        <f ca="1">INDIRECT("KAS_"&amp;UPPER($B$2)&amp;"!H36")</f>
        <v>20000</v>
      </c>
      <c r="D36" s="23">
        <f ca="1">INDIRECT("KAS_"&amp;UPPER($B$2)&amp;"!I36")</f>
        <v>0</v>
      </c>
      <c r="E36" s="23">
        <f ca="1">INDIRECT("KAS_"&amp;UPPER($B$2)&amp;"!J36")</f>
        <v>20000</v>
      </c>
      <c r="F36" s="29" t="str">
        <f ca="1">INDIRECT("KAS_"&amp;UPPER($B$2)&amp;"!L36")</f>
        <v>BELUM BAYAR</v>
      </c>
    </row>
    <row r="37" spans="1:6" x14ac:dyDescent="0.3">
      <c r="A37" s="28" t="str">
        <f>MASTER_ANGGOTA!B37</f>
        <v>Nama Siswa 33</v>
      </c>
      <c r="B37" s="23" t="str">
        <f t="shared" si="0"/>
        <v>September</v>
      </c>
      <c r="C37" s="23">
        <f ca="1">INDIRECT("KAS_"&amp;UPPER($B$2)&amp;"!H37")</f>
        <v>20000</v>
      </c>
      <c r="D37" s="23">
        <f ca="1">INDIRECT("KAS_"&amp;UPPER($B$2)&amp;"!I37")</f>
        <v>0</v>
      </c>
      <c r="E37" s="23">
        <f ca="1">INDIRECT("KAS_"&amp;UPPER($B$2)&amp;"!J37")</f>
        <v>20000</v>
      </c>
      <c r="F37" s="29" t="str">
        <f ca="1">INDIRECT("KAS_"&amp;UPPER($B$2)&amp;"!L37")</f>
        <v>BELUM BAYAR</v>
      </c>
    </row>
    <row r="38" spans="1:6" x14ac:dyDescent="0.3">
      <c r="A38" s="28" t="str">
        <f>MASTER_ANGGOTA!B38</f>
        <v>Nama Siswa 34</v>
      </c>
      <c r="B38" s="23" t="str">
        <f t="shared" si="0"/>
        <v>September</v>
      </c>
      <c r="C38" s="23">
        <f ca="1">INDIRECT("KAS_"&amp;UPPER($B$2)&amp;"!H38")</f>
        <v>20000</v>
      </c>
      <c r="D38" s="23">
        <f ca="1">INDIRECT("KAS_"&amp;UPPER($B$2)&amp;"!I38")</f>
        <v>0</v>
      </c>
      <c r="E38" s="23">
        <f ca="1">INDIRECT("KAS_"&amp;UPPER($B$2)&amp;"!J38")</f>
        <v>20000</v>
      </c>
      <c r="F38" s="29" t="str">
        <f ca="1">INDIRECT("KAS_"&amp;UPPER($B$2)&amp;"!L38")</f>
        <v>BELUM BAYAR</v>
      </c>
    </row>
    <row r="39" spans="1:6" x14ac:dyDescent="0.3">
      <c r="A39" s="28" t="str">
        <f>MASTER_ANGGOTA!B39</f>
        <v>Nama Siswa 35</v>
      </c>
      <c r="B39" s="23" t="str">
        <f t="shared" si="0"/>
        <v>September</v>
      </c>
      <c r="C39" s="23">
        <f ca="1">INDIRECT("KAS_"&amp;UPPER($B$2)&amp;"!H39")</f>
        <v>20000</v>
      </c>
      <c r="D39" s="23">
        <f ca="1">INDIRECT("KAS_"&amp;UPPER($B$2)&amp;"!I39")</f>
        <v>0</v>
      </c>
      <c r="E39" s="23">
        <f ca="1">INDIRECT("KAS_"&amp;UPPER($B$2)&amp;"!J39")</f>
        <v>20000</v>
      </c>
      <c r="F39" s="29" t="str">
        <f ca="1">INDIRECT("KAS_"&amp;UPPER($B$2)&amp;"!L39")</f>
        <v>BELUM BAYAR</v>
      </c>
    </row>
    <row r="40" spans="1:6" x14ac:dyDescent="0.3">
      <c r="A40" s="28" t="str">
        <f>MASTER_ANGGOTA!B40</f>
        <v>Nama Siswa 36</v>
      </c>
      <c r="B40" s="23" t="str">
        <f t="shared" si="0"/>
        <v>September</v>
      </c>
      <c r="C40" s="23">
        <f ca="1">INDIRECT("KAS_"&amp;UPPER($B$2)&amp;"!H40")</f>
        <v>20000</v>
      </c>
      <c r="D40" s="23">
        <f ca="1">INDIRECT("KAS_"&amp;UPPER($B$2)&amp;"!I40")</f>
        <v>0</v>
      </c>
      <c r="E40" s="23">
        <f ca="1">INDIRECT("KAS_"&amp;UPPER($B$2)&amp;"!J40")</f>
        <v>20000</v>
      </c>
      <c r="F40" s="29" t="str">
        <f ca="1">INDIRECT("KAS_"&amp;UPPER($B$2)&amp;"!L40")</f>
        <v>BELUM BAYAR</v>
      </c>
    </row>
    <row r="41" spans="1:6" x14ac:dyDescent="0.3">
      <c r="A41" s="28" t="str">
        <f>MASTER_ANGGOTA!B41</f>
        <v>Nama Siswa 37</v>
      </c>
      <c r="B41" s="23" t="str">
        <f t="shared" si="0"/>
        <v>September</v>
      </c>
      <c r="C41" s="23">
        <f ca="1">INDIRECT("KAS_"&amp;UPPER($B$2)&amp;"!H41")</f>
        <v>20000</v>
      </c>
      <c r="D41" s="23">
        <f ca="1">INDIRECT("KAS_"&amp;UPPER($B$2)&amp;"!I41")</f>
        <v>0</v>
      </c>
      <c r="E41" s="23">
        <f ca="1">INDIRECT("KAS_"&amp;UPPER($B$2)&amp;"!J41")</f>
        <v>20000</v>
      </c>
      <c r="F41" s="29" t="str">
        <f ca="1">INDIRECT("KAS_"&amp;UPPER($B$2)&amp;"!L41")</f>
        <v>BELUM BAYAR</v>
      </c>
    </row>
    <row r="42" spans="1:6" x14ac:dyDescent="0.3">
      <c r="A42" s="28" t="str">
        <f>MASTER_ANGGOTA!B42</f>
        <v>Nama Siswa 38</v>
      </c>
      <c r="B42" s="23" t="str">
        <f t="shared" si="0"/>
        <v>September</v>
      </c>
      <c r="C42" s="23">
        <f ca="1">INDIRECT("KAS_"&amp;UPPER($B$2)&amp;"!H42")</f>
        <v>20000</v>
      </c>
      <c r="D42" s="23">
        <f ca="1">INDIRECT("KAS_"&amp;UPPER($B$2)&amp;"!I42")</f>
        <v>0</v>
      </c>
      <c r="E42" s="23">
        <f ca="1">INDIRECT("KAS_"&amp;UPPER($B$2)&amp;"!J42")</f>
        <v>20000</v>
      </c>
      <c r="F42" s="29" t="str">
        <f ca="1">INDIRECT("KAS_"&amp;UPPER($B$2)&amp;"!L42")</f>
        <v>BELUM BAYAR</v>
      </c>
    </row>
    <row r="43" spans="1:6" x14ac:dyDescent="0.3">
      <c r="A43" s="28" t="str">
        <f>MASTER_ANGGOTA!B43</f>
        <v>Nama Siswa 39</v>
      </c>
      <c r="B43" s="23" t="str">
        <f t="shared" si="0"/>
        <v>September</v>
      </c>
      <c r="C43" s="23">
        <f ca="1">INDIRECT("KAS_"&amp;UPPER($B$2)&amp;"!H43")</f>
        <v>20000</v>
      </c>
      <c r="D43" s="23">
        <f ca="1">INDIRECT("KAS_"&amp;UPPER($B$2)&amp;"!I43")</f>
        <v>0</v>
      </c>
      <c r="E43" s="23">
        <f ca="1">INDIRECT("KAS_"&amp;UPPER($B$2)&amp;"!J43")</f>
        <v>20000</v>
      </c>
      <c r="F43" s="29" t="str">
        <f ca="1">INDIRECT("KAS_"&amp;UPPER($B$2)&amp;"!L43")</f>
        <v>BELUM BAYAR</v>
      </c>
    </row>
    <row r="44" spans="1:6" x14ac:dyDescent="0.3">
      <c r="A44" s="28" t="str">
        <f>MASTER_ANGGOTA!B44</f>
        <v>Nama Siswa 40</v>
      </c>
      <c r="B44" s="23" t="str">
        <f t="shared" si="0"/>
        <v>September</v>
      </c>
      <c r="C44" s="23">
        <f ca="1">INDIRECT("KAS_"&amp;UPPER($B$2)&amp;"!H44")</f>
        <v>20000</v>
      </c>
      <c r="D44" s="23">
        <f ca="1">INDIRECT("KAS_"&amp;UPPER($B$2)&amp;"!I44")</f>
        <v>0</v>
      </c>
      <c r="E44" s="23">
        <f ca="1">INDIRECT("KAS_"&amp;UPPER($B$2)&amp;"!J44")</f>
        <v>20000</v>
      </c>
      <c r="F44" s="29" t="str">
        <f ca="1">INDIRECT("KAS_"&amp;UPPER($B$2)&amp;"!L44")</f>
        <v>BELUM BAYAR</v>
      </c>
    </row>
    <row r="45" spans="1:6" x14ac:dyDescent="0.3">
      <c r="A45" s="28" t="str">
        <f>MASTER_ANGGOTA!B45</f>
        <v>Nama Siswa 41</v>
      </c>
      <c r="B45" s="23" t="str">
        <f t="shared" si="0"/>
        <v>September</v>
      </c>
      <c r="C45" s="23">
        <f ca="1">INDIRECT("KAS_"&amp;UPPER($B$2)&amp;"!H45")</f>
        <v>20000</v>
      </c>
      <c r="D45" s="23">
        <f ca="1">INDIRECT("KAS_"&amp;UPPER($B$2)&amp;"!I45")</f>
        <v>0</v>
      </c>
      <c r="E45" s="23">
        <f ca="1">INDIRECT("KAS_"&amp;UPPER($B$2)&amp;"!J45")</f>
        <v>20000</v>
      </c>
      <c r="F45" s="29" t="str">
        <f ca="1">INDIRECT("KAS_"&amp;UPPER($B$2)&amp;"!L45")</f>
        <v>BELUM BAYAR</v>
      </c>
    </row>
  </sheetData>
  <autoFilter ref="A4:F45" xr:uid="{00000000-0009-0000-0000-000012000000}"/>
  <mergeCells count="1">
    <mergeCell ref="A1:F1"/>
  </mergeCells>
  <conditionalFormatting sqref="F5:F45">
    <cfRule type="expression" dxfId="2" priority="2">
      <formula>LEFT(F5,5)="LUNAS"</formula>
    </cfRule>
    <cfRule type="cellIs" dxfId="1" priority="3" operator="equal">
      <formula>"CICILAN"</formula>
    </cfRule>
    <cfRule type="cellIs" dxfId="0" priority="4" operator="equal">
      <formula>"BELUM BAYAR"</formula>
    </cfRule>
  </conditionalFormatting>
  <dataValidations count="1">
    <dataValidation type="list" sqref="B2" xr:uid="{00000000-0002-0000-1200-000000000000}">
      <formula1>"September,Oktober,November,Desember,Januari,Februari,Maret,April,Mei,Juni"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695C"/>
  </sheetPr>
  <dimension ref="A1:O4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3" width="20" customWidth="1"/>
    <col min="4" max="4" width="14" customWidth="1"/>
    <col min="8" max="10" width="18" customWidth="1"/>
    <col min="12" max="12" width="18" customWidth="1"/>
    <col min="13" max="13" width="14" customWidth="1"/>
    <col min="14" max="14" width="16" customWidth="1"/>
    <col min="15" max="15" width="12" customWidth="1"/>
  </cols>
  <sheetData>
    <row r="1" spans="1:15" ht="27.75" customHeight="1" x14ac:dyDescent="0.3">
      <c r="A1" s="14" t="s">
        <v>234</v>
      </c>
      <c r="B1" s="14"/>
      <c r="C1" s="14"/>
      <c r="D1" s="14"/>
    </row>
    <row r="2" spans="1:15" x14ac:dyDescent="0.3">
      <c r="A2" s="18" t="s">
        <v>235</v>
      </c>
    </row>
    <row r="3" spans="1:15" x14ac:dyDescent="0.3">
      <c r="H3" s="16" t="s">
        <v>236</v>
      </c>
      <c r="L3" s="16" t="s">
        <v>237</v>
      </c>
    </row>
    <row r="4" spans="1:15" ht="26.4" x14ac:dyDescent="0.3">
      <c r="A4" s="44" t="s">
        <v>238</v>
      </c>
      <c r="B4" s="44"/>
      <c r="C4" s="44"/>
      <c r="D4" s="44"/>
      <c r="H4" s="19" t="s">
        <v>35</v>
      </c>
      <c r="I4" s="19" t="s">
        <v>239</v>
      </c>
      <c r="J4" s="19" t="s">
        <v>240</v>
      </c>
      <c r="L4" s="19" t="s">
        <v>82</v>
      </c>
      <c r="M4" s="19" t="s">
        <v>241</v>
      </c>
      <c r="N4" s="19" t="s">
        <v>225</v>
      </c>
      <c r="O4" s="19" t="s">
        <v>242</v>
      </c>
    </row>
    <row r="5" spans="1:15" x14ac:dyDescent="0.3">
      <c r="A5" s="43" t="s">
        <v>243</v>
      </c>
      <c r="B5" s="43"/>
      <c r="C5" s="45">
        <f>SALDO_AKHIR_TAHUN</f>
        <v>-100000</v>
      </c>
      <c r="D5" s="45"/>
      <c r="H5" s="38" t="str">
        <f>MASTER_ANGGOTA!B5</f>
        <v>Budi</v>
      </c>
      <c r="I5" s="15">
        <f>KAS_SEPTEMBER!I5+KAS_OKTOBER!I5+KAS_NOVEMBER!I5+KAS_DESEMBER!I5+KAS_JANUARI!I5+KAS_FEBRUARI!I5+KAS_MARET!I5+KAS_APRIL!I5+KAS_MEI!I5+KAS_JUNI!I5</f>
        <v>8000</v>
      </c>
      <c r="J5" s="15">
        <f>KAS_SEPTEMBER!J5+KAS_OKTOBER!J5+KAS_NOVEMBER!J5+KAS_DESEMBER!J5+KAS_JANUARI!J5+KAS_FEBRUARI!J5+KAS_MARET!J5+KAS_APRIL!J5+KAS_MEI!J5+KAS_JUNI!J5</f>
        <v>202000</v>
      </c>
      <c r="L5" s="15" t="s">
        <v>85</v>
      </c>
      <c r="M5" s="15">
        <f t="shared" ref="M5:M11" si="0">COUNTIF(PENG_KATEGORI,L5)</f>
        <v>0</v>
      </c>
      <c r="N5" s="15">
        <f t="shared" ref="N5:N11" si="1">SUMIF(PENG_KATEGORI,L5,PENG_JUMLAH)</f>
        <v>0</v>
      </c>
      <c r="O5" s="39">
        <f t="shared" ref="O5:O11" si="2">IFERROR(N5/SUM($N$5:$N$11),0)</f>
        <v>0</v>
      </c>
    </row>
    <row r="6" spans="1:15" x14ac:dyDescent="0.3">
      <c r="A6" s="43" t="s">
        <v>244</v>
      </c>
      <c r="B6" s="43"/>
      <c r="C6" s="45">
        <f>AVERAGE(REKAP_BULANAN!D4:D13)</f>
        <v>2500</v>
      </c>
      <c r="D6" s="45"/>
      <c r="H6" s="38" t="str">
        <f>MASTER_ANGGOTA!B6</f>
        <v>Andi</v>
      </c>
      <c r="I6" s="15">
        <f>KAS_SEPTEMBER!I6+KAS_OKTOBER!I6+KAS_NOVEMBER!I6+KAS_DESEMBER!I6+KAS_JANUARI!I6+KAS_FEBRUARI!I6+KAS_MARET!I6+KAS_APRIL!I6+KAS_MEI!I6+KAS_JUNI!I6</f>
        <v>10000</v>
      </c>
      <c r="J6" s="15">
        <f>KAS_SEPTEMBER!J6+KAS_OKTOBER!J6+KAS_NOVEMBER!J6+KAS_DESEMBER!J6+KAS_JANUARI!J6+KAS_FEBRUARI!J6+KAS_MARET!J6+KAS_APRIL!J6+KAS_MEI!J6+KAS_JUNI!J6</f>
        <v>200000</v>
      </c>
      <c r="L6" s="15" t="s">
        <v>88</v>
      </c>
      <c r="M6" s="15">
        <f t="shared" si="0"/>
        <v>3</v>
      </c>
      <c r="N6" s="15">
        <f t="shared" si="1"/>
        <v>65000</v>
      </c>
      <c r="O6" s="39">
        <f t="shared" si="2"/>
        <v>0.52</v>
      </c>
    </row>
    <row r="7" spans="1:15" x14ac:dyDescent="0.3">
      <c r="A7" s="43" t="s">
        <v>245</v>
      </c>
      <c r="B7" s="43"/>
      <c r="C7" s="45">
        <f>AVERAGE(REKAP_BULANAN!F4:F13)</f>
        <v>12500</v>
      </c>
      <c r="D7" s="45"/>
      <c r="H7" s="38" t="str">
        <f>MASTER_ANGGOTA!B7</f>
        <v>Citra</v>
      </c>
      <c r="I7" s="15">
        <f>KAS_SEPTEMBER!I7+KAS_OKTOBER!I7+KAS_NOVEMBER!I7+KAS_DESEMBER!I7+KAS_JANUARI!I7+KAS_FEBRUARI!I7+KAS_MARET!I7+KAS_APRIL!I7+KAS_MEI!I7+KAS_JUNI!I7</f>
        <v>0</v>
      </c>
      <c r="J7" s="15">
        <f>KAS_SEPTEMBER!J7+KAS_OKTOBER!J7+KAS_NOVEMBER!J7+KAS_DESEMBER!J7+KAS_JANUARI!J7+KAS_FEBRUARI!J7+KAS_MARET!J7+KAS_APRIL!J7+KAS_MEI!J7+KAS_JUNI!J7</f>
        <v>210000</v>
      </c>
      <c r="L7" s="15" t="s">
        <v>90</v>
      </c>
      <c r="M7" s="15">
        <f t="shared" si="0"/>
        <v>0</v>
      </c>
      <c r="N7" s="15">
        <f t="shared" si="1"/>
        <v>0</v>
      </c>
      <c r="O7" s="39">
        <f t="shared" si="2"/>
        <v>0</v>
      </c>
    </row>
    <row r="8" spans="1:15" x14ac:dyDescent="0.3">
      <c r="A8" s="43" t="s">
        <v>246</v>
      </c>
      <c r="B8" s="43"/>
      <c r="C8" s="45" t="str">
        <f>IF(SALDO!G14&gt;SALDO!G5,"NAIK",IF(SALDO!G14&lt;SALDO!G5,"TURUN","STABIL"))</f>
        <v>STABIL</v>
      </c>
      <c r="D8" s="45"/>
      <c r="H8" s="38" t="str">
        <f>MASTER_ANGGOTA!B8</f>
        <v>Doni</v>
      </c>
      <c r="I8" s="15">
        <f>KAS_SEPTEMBER!I8+KAS_OKTOBER!I8+KAS_NOVEMBER!I8+KAS_DESEMBER!I8+KAS_JANUARI!I8+KAS_FEBRUARI!I8+KAS_MARET!I8+KAS_APRIL!I8+KAS_MEI!I8+KAS_JUNI!I8</f>
        <v>7000</v>
      </c>
      <c r="J8" s="15">
        <f>KAS_SEPTEMBER!J8+KAS_OKTOBER!J8+KAS_NOVEMBER!J8+KAS_DESEMBER!J8+KAS_JANUARI!J8+KAS_FEBRUARI!J8+KAS_MARET!J8+KAS_APRIL!J8+KAS_MEI!J8+KAS_JUNI!J8</f>
        <v>203000</v>
      </c>
      <c r="L8" s="15" t="s">
        <v>92</v>
      </c>
      <c r="M8" s="15">
        <f t="shared" si="0"/>
        <v>0</v>
      </c>
      <c r="N8" s="15">
        <f t="shared" si="1"/>
        <v>0</v>
      </c>
      <c r="O8" s="39">
        <f t="shared" si="2"/>
        <v>0</v>
      </c>
    </row>
    <row r="9" spans="1:15" x14ac:dyDescent="0.3">
      <c r="H9" s="38" t="str">
        <f>MASTER_ANGGOTA!B9</f>
        <v>Nama Siswa 5</v>
      </c>
      <c r="I9" s="15">
        <f>KAS_SEPTEMBER!I9+KAS_OKTOBER!I9+KAS_NOVEMBER!I9+KAS_DESEMBER!I9+KAS_JANUARI!I9+KAS_FEBRUARI!I9+KAS_MARET!I9+KAS_APRIL!I9+KAS_MEI!I9+KAS_JUNI!I9</f>
        <v>0</v>
      </c>
      <c r="J9" s="15">
        <f>KAS_SEPTEMBER!J9+KAS_OKTOBER!J9+KAS_NOVEMBER!J9+KAS_DESEMBER!J9+KAS_JANUARI!J9+KAS_FEBRUARI!J9+KAS_MARET!J9+KAS_APRIL!J9+KAS_MEI!J9+KAS_JUNI!J9</f>
        <v>210000</v>
      </c>
      <c r="L9" s="15" t="s">
        <v>94</v>
      </c>
      <c r="M9" s="15">
        <f t="shared" si="0"/>
        <v>1</v>
      </c>
      <c r="N9" s="15">
        <f t="shared" si="1"/>
        <v>50000</v>
      </c>
      <c r="O9" s="39">
        <f t="shared" si="2"/>
        <v>0.4</v>
      </c>
    </row>
    <row r="10" spans="1:15" x14ac:dyDescent="0.3">
      <c r="A10" s="44" t="s">
        <v>247</v>
      </c>
      <c r="B10" s="44"/>
      <c r="C10" s="44"/>
      <c r="D10" s="44"/>
      <c r="H10" s="38" t="str">
        <f>MASTER_ANGGOTA!B10</f>
        <v>Nama Siswa 6</v>
      </c>
      <c r="I10" s="15">
        <f>KAS_SEPTEMBER!I10+KAS_OKTOBER!I10+KAS_NOVEMBER!I10+KAS_DESEMBER!I10+KAS_JANUARI!I10+KAS_FEBRUARI!I10+KAS_MARET!I10+KAS_APRIL!I10+KAS_MEI!I10+KAS_JUNI!I10</f>
        <v>0</v>
      </c>
      <c r="J10" s="15">
        <f>KAS_SEPTEMBER!J10+KAS_OKTOBER!J10+KAS_NOVEMBER!J10+KAS_DESEMBER!J10+KAS_JANUARI!J10+KAS_FEBRUARI!J10+KAS_MARET!J10+KAS_APRIL!J10+KAS_MEI!J10+KAS_JUNI!J10</f>
        <v>210000</v>
      </c>
      <c r="L10" s="15" t="s">
        <v>96</v>
      </c>
      <c r="M10" s="15">
        <f t="shared" si="0"/>
        <v>1</v>
      </c>
      <c r="N10" s="15">
        <f t="shared" si="1"/>
        <v>10000</v>
      </c>
      <c r="O10" s="39">
        <f t="shared" si="2"/>
        <v>0.08</v>
      </c>
    </row>
    <row r="11" spans="1:15" x14ac:dyDescent="0.3">
      <c r="A11" s="43" t="s">
        <v>248</v>
      </c>
      <c r="B11" s="43"/>
      <c r="C11" s="46">
        <f>AVERAGE(REKAP_BULANAN!H4:H13)</f>
        <v>3.0487804878048782E-3</v>
      </c>
      <c r="D11" s="46"/>
      <c r="H11" s="38" t="str">
        <f>MASTER_ANGGOTA!B11</f>
        <v>Nama Siswa 7</v>
      </c>
      <c r="I11" s="15">
        <f>KAS_SEPTEMBER!I11+KAS_OKTOBER!I11+KAS_NOVEMBER!I11+KAS_DESEMBER!I11+KAS_JANUARI!I11+KAS_FEBRUARI!I11+KAS_MARET!I11+KAS_APRIL!I11+KAS_MEI!I11+KAS_JUNI!I11</f>
        <v>0</v>
      </c>
      <c r="J11" s="15">
        <f>KAS_SEPTEMBER!J11+KAS_OKTOBER!J11+KAS_NOVEMBER!J11+KAS_DESEMBER!J11+KAS_JANUARI!J11+KAS_FEBRUARI!J11+KAS_MARET!J11+KAS_APRIL!J11+KAS_MEI!J11+KAS_JUNI!J11</f>
        <v>210000</v>
      </c>
      <c r="L11" s="15" t="s">
        <v>98</v>
      </c>
      <c r="M11" s="15">
        <f t="shared" si="0"/>
        <v>0</v>
      </c>
      <c r="N11" s="15">
        <f t="shared" si="1"/>
        <v>0</v>
      </c>
      <c r="O11" s="39">
        <f t="shared" si="2"/>
        <v>0</v>
      </c>
    </row>
    <row r="12" spans="1:15" x14ac:dyDescent="0.3">
      <c r="A12" s="43" t="s">
        <v>249</v>
      </c>
      <c r="B12" s="43"/>
      <c r="C12" s="45">
        <f>SUM(REKAP_BULANAN!E4:E13)</f>
        <v>8585000</v>
      </c>
      <c r="D12" s="45"/>
      <c r="H12" s="38" t="str">
        <f>MASTER_ANGGOTA!B12</f>
        <v>Nama Siswa 8</v>
      </c>
      <c r="I12" s="15">
        <f>KAS_SEPTEMBER!I12+KAS_OKTOBER!I12+KAS_NOVEMBER!I12+KAS_DESEMBER!I12+KAS_JANUARI!I12+KAS_FEBRUARI!I12+KAS_MARET!I12+KAS_APRIL!I12+KAS_MEI!I12+KAS_JUNI!I12</f>
        <v>0</v>
      </c>
      <c r="J12" s="15">
        <f>KAS_SEPTEMBER!J12+KAS_OKTOBER!J12+KAS_NOVEMBER!J12+KAS_DESEMBER!J12+KAS_JANUARI!J12+KAS_FEBRUARI!J12+KAS_MARET!J12+KAS_APRIL!J12+KAS_MEI!J12+KAS_JUNI!J12</f>
        <v>210000</v>
      </c>
    </row>
    <row r="13" spans="1:15" x14ac:dyDescent="0.3">
      <c r="A13" s="43" t="s">
        <v>250</v>
      </c>
      <c r="B13" s="43"/>
      <c r="C13" s="45">
        <f>AVERAGE(I5:I45)</f>
        <v>609.7560975609756</v>
      </c>
      <c r="D13" s="45"/>
      <c r="H13" s="38" t="str">
        <f>MASTER_ANGGOTA!B13</f>
        <v>Nama Siswa 9</v>
      </c>
      <c r="I13" s="15">
        <f>KAS_SEPTEMBER!I13+KAS_OKTOBER!I13+KAS_NOVEMBER!I13+KAS_DESEMBER!I13+KAS_JANUARI!I13+KAS_FEBRUARI!I13+KAS_MARET!I13+KAS_APRIL!I13+KAS_MEI!I13+KAS_JUNI!I13</f>
        <v>0</v>
      </c>
      <c r="J13" s="15">
        <f>KAS_SEPTEMBER!J13+KAS_OKTOBER!J13+KAS_NOVEMBER!J13+KAS_DESEMBER!J13+KAS_JANUARI!J13+KAS_FEBRUARI!J13+KAS_MARET!J13+KAS_APRIL!J13+KAS_MEI!J13+KAS_JUNI!J13</f>
        <v>210000</v>
      </c>
    </row>
    <row r="14" spans="1:15" x14ac:dyDescent="0.3">
      <c r="A14" s="43" t="s">
        <v>251</v>
      </c>
      <c r="B14" s="43"/>
      <c r="C14" s="45" t="str">
        <f>INDEX(H5:H45,MATCH(MAX(I5:I45),I5:I45,0))</f>
        <v>Andi</v>
      </c>
      <c r="D14" s="45"/>
      <c r="H14" s="38" t="str">
        <f>MASTER_ANGGOTA!B14</f>
        <v>Nama Siswa 10</v>
      </c>
      <c r="I14" s="15">
        <f>KAS_SEPTEMBER!I14+KAS_OKTOBER!I14+KAS_NOVEMBER!I14+KAS_DESEMBER!I14+KAS_JANUARI!I14+KAS_FEBRUARI!I14+KAS_MARET!I14+KAS_APRIL!I14+KAS_MEI!I14+KAS_JUNI!I14</f>
        <v>0</v>
      </c>
      <c r="J14" s="15">
        <f>KAS_SEPTEMBER!J14+KAS_OKTOBER!J14+KAS_NOVEMBER!J14+KAS_DESEMBER!J14+KAS_JANUARI!J14+KAS_FEBRUARI!J14+KAS_MARET!J14+KAS_APRIL!J14+KAS_MEI!J14+KAS_JUNI!J14</f>
        <v>210000</v>
      </c>
    </row>
    <row r="15" spans="1:15" x14ac:dyDescent="0.3">
      <c r="A15" s="43" t="s">
        <v>252</v>
      </c>
      <c r="B15" s="43"/>
      <c r="C15" s="45" t="str">
        <f>IF(MAX(J5:J45)=0,"(Tidak ada tunggakan)",INDEX(H5:H45,MATCH(MAX(J5:J45),J5:J45,0)))</f>
        <v>Citra</v>
      </c>
      <c r="D15" s="45"/>
      <c r="H15" s="38" t="str">
        <f>MASTER_ANGGOTA!B15</f>
        <v>Nama Siswa 11</v>
      </c>
      <c r="I15" s="15">
        <f>KAS_SEPTEMBER!I15+KAS_OKTOBER!I15+KAS_NOVEMBER!I15+KAS_DESEMBER!I15+KAS_JANUARI!I15+KAS_FEBRUARI!I15+KAS_MARET!I15+KAS_APRIL!I15+KAS_MEI!I15+KAS_JUNI!I15</f>
        <v>0</v>
      </c>
      <c r="J15" s="15">
        <f>KAS_SEPTEMBER!J15+KAS_OKTOBER!J15+KAS_NOVEMBER!J15+KAS_DESEMBER!J15+KAS_JANUARI!J15+KAS_FEBRUARI!J15+KAS_MARET!J15+KAS_APRIL!J15+KAS_MEI!J15+KAS_JUNI!J15</f>
        <v>210000</v>
      </c>
    </row>
    <row r="16" spans="1:15" x14ac:dyDescent="0.3">
      <c r="H16" s="38" t="str">
        <f>MASTER_ANGGOTA!B16</f>
        <v>Nama Siswa 12</v>
      </c>
      <c r="I16" s="15">
        <f>KAS_SEPTEMBER!I16+KAS_OKTOBER!I16+KAS_NOVEMBER!I16+KAS_DESEMBER!I16+KAS_JANUARI!I16+KAS_FEBRUARI!I16+KAS_MARET!I16+KAS_APRIL!I16+KAS_MEI!I16+KAS_JUNI!I16</f>
        <v>0</v>
      </c>
      <c r="J16" s="15">
        <f>KAS_SEPTEMBER!J16+KAS_OKTOBER!J16+KAS_NOVEMBER!J16+KAS_DESEMBER!J16+KAS_JANUARI!J16+KAS_FEBRUARI!J16+KAS_MARET!J16+KAS_APRIL!J16+KAS_MEI!J16+KAS_JUNI!J16</f>
        <v>210000</v>
      </c>
    </row>
    <row r="17" spans="1:10" x14ac:dyDescent="0.3">
      <c r="A17" s="44" t="s">
        <v>253</v>
      </c>
      <c r="B17" s="44"/>
      <c r="C17" s="44"/>
      <c r="D17" s="44"/>
      <c r="H17" s="38" t="str">
        <f>MASTER_ANGGOTA!B17</f>
        <v>Nama Siswa 13</v>
      </c>
      <c r="I17" s="15">
        <f>KAS_SEPTEMBER!I17+KAS_OKTOBER!I17+KAS_NOVEMBER!I17+KAS_DESEMBER!I17+KAS_JANUARI!I17+KAS_FEBRUARI!I17+KAS_MARET!I17+KAS_APRIL!I17+KAS_MEI!I17+KAS_JUNI!I17</f>
        <v>0</v>
      </c>
      <c r="J17" s="15">
        <f>KAS_SEPTEMBER!J17+KAS_OKTOBER!J17+KAS_NOVEMBER!J17+KAS_DESEMBER!J17+KAS_JANUARI!J17+KAS_FEBRUARI!J17+KAS_MARET!J17+KAS_APRIL!J17+KAS_MEI!J17+KAS_JUNI!J17</f>
        <v>210000</v>
      </c>
    </row>
    <row r="18" spans="1:10" x14ac:dyDescent="0.3">
      <c r="A18" s="43" t="s">
        <v>254</v>
      </c>
      <c r="B18" s="43"/>
      <c r="C18" s="45" t="str">
        <f>INDEX(L5:L11,MATCH(MAX(N5:N11),N5:N11,0))</f>
        <v>PERLENGKAPAN</v>
      </c>
      <c r="D18" s="45"/>
      <c r="H18" s="38" t="str">
        <f>MASTER_ANGGOTA!B18</f>
        <v>Nama Siswa 14</v>
      </c>
      <c r="I18" s="15">
        <f>KAS_SEPTEMBER!I18+KAS_OKTOBER!I18+KAS_NOVEMBER!I18+KAS_DESEMBER!I18+KAS_JANUARI!I18+KAS_FEBRUARI!I18+KAS_MARET!I18+KAS_APRIL!I18+KAS_MEI!I18+KAS_JUNI!I18</f>
        <v>0</v>
      </c>
      <c r="J18" s="15">
        <f>KAS_SEPTEMBER!J18+KAS_OKTOBER!J18+KAS_NOVEMBER!J18+KAS_DESEMBER!J18+KAS_JANUARI!J18+KAS_FEBRUARI!J18+KAS_MARET!J18+KAS_APRIL!J18+KAS_MEI!J18+KAS_JUNI!J18</f>
        <v>210000</v>
      </c>
    </row>
    <row r="19" spans="1:10" x14ac:dyDescent="0.3">
      <c r="A19" s="43" t="s">
        <v>255</v>
      </c>
      <c r="B19" s="43"/>
      <c r="C19" s="45">
        <f>IFERROR(AVERAGEIF(PENG_JUMLAH,"&gt;0"),0)</f>
        <v>25000</v>
      </c>
      <c r="D19" s="45"/>
      <c r="H19" s="38" t="str">
        <f>MASTER_ANGGOTA!B19</f>
        <v>Nama Siswa 15</v>
      </c>
      <c r="I19" s="15">
        <f>KAS_SEPTEMBER!I19+KAS_OKTOBER!I19+KAS_NOVEMBER!I19+KAS_DESEMBER!I19+KAS_JANUARI!I19+KAS_FEBRUARI!I19+KAS_MARET!I19+KAS_APRIL!I19+KAS_MEI!I19+KAS_JUNI!I19</f>
        <v>0</v>
      </c>
      <c r="J19" s="15">
        <f>KAS_SEPTEMBER!J19+KAS_OKTOBER!J19+KAS_NOVEMBER!J19+KAS_DESEMBER!J19+KAS_JANUARI!J19+KAS_FEBRUARI!J19+KAS_MARET!J19+KAS_APRIL!J19+KAS_MEI!J19+KAS_JUNI!J19</f>
        <v>210000</v>
      </c>
    </row>
    <row r="20" spans="1:10" x14ac:dyDescent="0.3">
      <c r="A20" s="43" t="s">
        <v>256</v>
      </c>
      <c r="B20" s="43"/>
      <c r="C20" s="45">
        <f>AVERAGE(REKAP_BULANAN!F4:F13)</f>
        <v>12500</v>
      </c>
      <c r="D20" s="45"/>
      <c r="H20" s="38" t="str">
        <f>MASTER_ANGGOTA!B20</f>
        <v>Nama Siswa 16</v>
      </c>
      <c r="I20" s="15">
        <f>KAS_SEPTEMBER!I20+KAS_OKTOBER!I20+KAS_NOVEMBER!I20+KAS_DESEMBER!I20+KAS_JANUARI!I20+KAS_FEBRUARI!I20+KAS_MARET!I20+KAS_APRIL!I20+KAS_MEI!I20+KAS_JUNI!I20</f>
        <v>0</v>
      </c>
      <c r="J20" s="15">
        <f>KAS_SEPTEMBER!J20+KAS_OKTOBER!J20+KAS_NOVEMBER!J20+KAS_DESEMBER!J20+KAS_JANUARI!J20+KAS_FEBRUARI!J20+KAS_MARET!J20+KAS_APRIL!J20+KAS_MEI!J20+KAS_JUNI!J20</f>
        <v>210000</v>
      </c>
    </row>
    <row r="21" spans="1:10" x14ac:dyDescent="0.3">
      <c r="A21" s="43" t="s">
        <v>257</v>
      </c>
      <c r="B21" s="43"/>
      <c r="C21" s="45">
        <f>SUMIF(PENG_KATEGORI,"LAINNYA",PENG_JUMLAH)</f>
        <v>0</v>
      </c>
      <c r="D21" s="45"/>
      <c r="H21" s="38" t="str">
        <f>MASTER_ANGGOTA!B21</f>
        <v>Nama Siswa 17</v>
      </c>
      <c r="I21" s="15">
        <f>KAS_SEPTEMBER!I21+KAS_OKTOBER!I21+KAS_NOVEMBER!I21+KAS_DESEMBER!I21+KAS_JANUARI!I21+KAS_FEBRUARI!I21+KAS_MARET!I21+KAS_APRIL!I21+KAS_MEI!I21+KAS_JUNI!I21</f>
        <v>0</v>
      </c>
      <c r="J21" s="15">
        <f>KAS_SEPTEMBER!J21+KAS_OKTOBER!J21+KAS_NOVEMBER!J21+KAS_DESEMBER!J21+KAS_JANUARI!J21+KAS_FEBRUARI!J21+KAS_MARET!J21+KAS_APRIL!J21+KAS_MEI!J21+KAS_JUNI!J21</f>
        <v>210000</v>
      </c>
    </row>
    <row r="22" spans="1:10" x14ac:dyDescent="0.3">
      <c r="A22" s="43" t="s">
        <v>258</v>
      </c>
      <c r="B22" s="43"/>
      <c r="C22" s="45">
        <f>COUNTIF(PENG_JUMLAH,"&gt;0")</f>
        <v>5</v>
      </c>
      <c r="D22" s="45"/>
      <c r="H22" s="38" t="str">
        <f>MASTER_ANGGOTA!B22</f>
        <v>Nama Siswa 18</v>
      </c>
      <c r="I22" s="15">
        <f>KAS_SEPTEMBER!I22+KAS_OKTOBER!I22+KAS_NOVEMBER!I22+KAS_DESEMBER!I22+KAS_JANUARI!I22+KAS_FEBRUARI!I22+KAS_MARET!I22+KAS_APRIL!I22+KAS_MEI!I22+KAS_JUNI!I22</f>
        <v>0</v>
      </c>
      <c r="J22" s="15">
        <f>KAS_SEPTEMBER!J22+KAS_OKTOBER!J22+KAS_NOVEMBER!J22+KAS_DESEMBER!J22+KAS_JANUARI!J22+KAS_FEBRUARI!J22+KAS_MARET!J22+KAS_APRIL!J22+KAS_MEI!J22+KAS_JUNI!J22</f>
        <v>210000</v>
      </c>
    </row>
    <row r="23" spans="1:10" x14ac:dyDescent="0.3">
      <c r="A23" s="43" t="s">
        <v>259</v>
      </c>
      <c r="B23" s="43"/>
      <c r="C23" s="45">
        <f>MAX(PENG_JUMLAH)</f>
        <v>50000</v>
      </c>
      <c r="D23" s="45"/>
      <c r="H23" s="38" t="str">
        <f>MASTER_ANGGOTA!B23</f>
        <v>Nama Siswa 19</v>
      </c>
      <c r="I23" s="15">
        <f>KAS_SEPTEMBER!I23+KAS_OKTOBER!I23+KAS_NOVEMBER!I23+KAS_DESEMBER!I23+KAS_JANUARI!I23+KAS_FEBRUARI!I23+KAS_MARET!I23+KAS_APRIL!I23+KAS_MEI!I23+KAS_JUNI!I23</f>
        <v>0</v>
      </c>
      <c r="J23" s="15">
        <f>KAS_SEPTEMBER!J23+KAS_OKTOBER!J23+KAS_NOVEMBER!J23+KAS_DESEMBER!J23+KAS_JANUARI!J23+KAS_FEBRUARI!J23+KAS_MARET!J23+KAS_APRIL!J23+KAS_MEI!J23+KAS_JUNI!J23</f>
        <v>210000</v>
      </c>
    </row>
    <row r="24" spans="1:10" x14ac:dyDescent="0.3">
      <c r="A24" s="43" t="s">
        <v>260</v>
      </c>
      <c r="B24" s="43"/>
      <c r="C24" s="45">
        <f>_xlfn.MINIFS(PENG_JUMLAH,PENG_JUMLAH,"&gt;0")</f>
        <v>10000</v>
      </c>
      <c r="D24" s="45"/>
      <c r="H24" s="38" t="str">
        <f>MASTER_ANGGOTA!B24</f>
        <v>Nama Siswa 20</v>
      </c>
      <c r="I24" s="15">
        <f>KAS_SEPTEMBER!I24+KAS_OKTOBER!I24+KAS_NOVEMBER!I24+KAS_DESEMBER!I24+KAS_JANUARI!I24+KAS_FEBRUARI!I24+KAS_MARET!I24+KAS_APRIL!I24+KAS_MEI!I24+KAS_JUNI!I24</f>
        <v>0</v>
      </c>
      <c r="J24" s="15">
        <f>KAS_SEPTEMBER!J24+KAS_OKTOBER!J24+KAS_NOVEMBER!J24+KAS_DESEMBER!J24+KAS_JANUARI!J24+KAS_FEBRUARI!J24+KAS_MARET!J24+KAS_APRIL!J24+KAS_MEI!J24+KAS_JUNI!J24</f>
        <v>210000</v>
      </c>
    </row>
    <row r="25" spans="1:10" x14ac:dyDescent="0.3">
      <c r="H25" s="38" t="str">
        <f>MASTER_ANGGOTA!B25</f>
        <v>Nama Siswa 21</v>
      </c>
      <c r="I25" s="15">
        <f>KAS_SEPTEMBER!I25+KAS_OKTOBER!I25+KAS_NOVEMBER!I25+KAS_DESEMBER!I25+KAS_JANUARI!I25+KAS_FEBRUARI!I25+KAS_MARET!I25+KAS_APRIL!I25+KAS_MEI!I25+KAS_JUNI!I25</f>
        <v>0</v>
      </c>
      <c r="J25" s="15">
        <f>KAS_SEPTEMBER!J25+KAS_OKTOBER!J25+KAS_NOVEMBER!J25+KAS_DESEMBER!J25+KAS_JANUARI!J25+KAS_FEBRUARI!J25+KAS_MARET!J25+KAS_APRIL!J25+KAS_MEI!J25+KAS_JUNI!J25</f>
        <v>210000</v>
      </c>
    </row>
    <row r="26" spans="1:10" x14ac:dyDescent="0.3">
      <c r="H26" s="38" t="str">
        <f>MASTER_ANGGOTA!B26</f>
        <v>Nama Siswa 22</v>
      </c>
      <c r="I26" s="15">
        <f>KAS_SEPTEMBER!I26+KAS_OKTOBER!I26+KAS_NOVEMBER!I26+KAS_DESEMBER!I26+KAS_JANUARI!I26+KAS_FEBRUARI!I26+KAS_MARET!I26+KAS_APRIL!I26+KAS_MEI!I26+KAS_JUNI!I26</f>
        <v>0</v>
      </c>
      <c r="J26" s="15">
        <f>KAS_SEPTEMBER!J26+KAS_OKTOBER!J26+KAS_NOVEMBER!J26+KAS_DESEMBER!J26+KAS_JANUARI!J26+KAS_FEBRUARI!J26+KAS_MARET!J26+KAS_APRIL!J26+KAS_MEI!J26+KAS_JUNI!J26</f>
        <v>210000</v>
      </c>
    </row>
    <row r="27" spans="1:10" x14ac:dyDescent="0.3">
      <c r="H27" s="38" t="str">
        <f>MASTER_ANGGOTA!B27</f>
        <v>Nama Siswa 23</v>
      </c>
      <c r="I27" s="15">
        <f>KAS_SEPTEMBER!I27+KAS_OKTOBER!I27+KAS_NOVEMBER!I27+KAS_DESEMBER!I27+KAS_JANUARI!I27+KAS_FEBRUARI!I27+KAS_MARET!I27+KAS_APRIL!I27+KAS_MEI!I27+KAS_JUNI!I27</f>
        <v>0</v>
      </c>
      <c r="J27" s="15">
        <f>KAS_SEPTEMBER!J27+KAS_OKTOBER!J27+KAS_NOVEMBER!J27+KAS_DESEMBER!J27+KAS_JANUARI!J27+KAS_FEBRUARI!J27+KAS_MARET!J27+KAS_APRIL!J27+KAS_MEI!J27+KAS_JUNI!J27</f>
        <v>210000</v>
      </c>
    </row>
    <row r="28" spans="1:10" x14ac:dyDescent="0.3">
      <c r="H28" s="38" t="str">
        <f>MASTER_ANGGOTA!B28</f>
        <v>Nama Siswa 24</v>
      </c>
      <c r="I28" s="15">
        <f>KAS_SEPTEMBER!I28+KAS_OKTOBER!I28+KAS_NOVEMBER!I28+KAS_DESEMBER!I28+KAS_JANUARI!I28+KAS_FEBRUARI!I28+KAS_MARET!I28+KAS_APRIL!I28+KAS_MEI!I28+KAS_JUNI!I28</f>
        <v>0</v>
      </c>
      <c r="J28" s="15">
        <f>KAS_SEPTEMBER!J28+KAS_OKTOBER!J28+KAS_NOVEMBER!J28+KAS_DESEMBER!J28+KAS_JANUARI!J28+KAS_FEBRUARI!J28+KAS_MARET!J28+KAS_APRIL!J28+KAS_MEI!J28+KAS_JUNI!J28</f>
        <v>210000</v>
      </c>
    </row>
    <row r="29" spans="1:10" x14ac:dyDescent="0.3">
      <c r="H29" s="38" t="str">
        <f>MASTER_ANGGOTA!B29</f>
        <v>Nama Siswa 25</v>
      </c>
      <c r="I29" s="15">
        <f>KAS_SEPTEMBER!I29+KAS_OKTOBER!I29+KAS_NOVEMBER!I29+KAS_DESEMBER!I29+KAS_JANUARI!I29+KAS_FEBRUARI!I29+KAS_MARET!I29+KAS_APRIL!I29+KAS_MEI!I29+KAS_JUNI!I29</f>
        <v>0</v>
      </c>
      <c r="J29" s="15">
        <f>KAS_SEPTEMBER!J29+KAS_OKTOBER!J29+KAS_NOVEMBER!J29+KAS_DESEMBER!J29+KAS_JANUARI!J29+KAS_FEBRUARI!J29+KAS_MARET!J29+KAS_APRIL!J29+KAS_MEI!J29+KAS_JUNI!J29</f>
        <v>210000</v>
      </c>
    </row>
    <row r="30" spans="1:10" x14ac:dyDescent="0.3">
      <c r="H30" s="38" t="str">
        <f>MASTER_ANGGOTA!B30</f>
        <v>Nama Siswa 26</v>
      </c>
      <c r="I30" s="15">
        <f>KAS_SEPTEMBER!I30+KAS_OKTOBER!I30+KAS_NOVEMBER!I30+KAS_DESEMBER!I30+KAS_JANUARI!I30+KAS_FEBRUARI!I30+KAS_MARET!I30+KAS_APRIL!I30+KAS_MEI!I30+KAS_JUNI!I30</f>
        <v>0</v>
      </c>
      <c r="J30" s="15">
        <f>KAS_SEPTEMBER!J30+KAS_OKTOBER!J30+KAS_NOVEMBER!J30+KAS_DESEMBER!J30+KAS_JANUARI!J30+KAS_FEBRUARI!J30+KAS_MARET!J30+KAS_APRIL!J30+KAS_MEI!J30+KAS_JUNI!J30</f>
        <v>210000</v>
      </c>
    </row>
    <row r="31" spans="1:10" x14ac:dyDescent="0.3">
      <c r="H31" s="38" t="str">
        <f>MASTER_ANGGOTA!B31</f>
        <v>Nama Siswa 27</v>
      </c>
      <c r="I31" s="15">
        <f>KAS_SEPTEMBER!I31+KAS_OKTOBER!I31+KAS_NOVEMBER!I31+KAS_DESEMBER!I31+KAS_JANUARI!I31+KAS_FEBRUARI!I31+KAS_MARET!I31+KAS_APRIL!I31+KAS_MEI!I31+KAS_JUNI!I31</f>
        <v>0</v>
      </c>
      <c r="J31" s="15">
        <f>KAS_SEPTEMBER!J31+KAS_OKTOBER!J31+KAS_NOVEMBER!J31+KAS_DESEMBER!J31+KAS_JANUARI!J31+KAS_FEBRUARI!J31+KAS_MARET!J31+KAS_APRIL!J31+KAS_MEI!J31+KAS_JUNI!J31</f>
        <v>210000</v>
      </c>
    </row>
    <row r="32" spans="1:10" x14ac:dyDescent="0.3">
      <c r="H32" s="38" t="str">
        <f>MASTER_ANGGOTA!B32</f>
        <v>Nama Siswa 28</v>
      </c>
      <c r="I32" s="15">
        <f>KAS_SEPTEMBER!I32+KAS_OKTOBER!I32+KAS_NOVEMBER!I32+KAS_DESEMBER!I32+KAS_JANUARI!I32+KAS_FEBRUARI!I32+KAS_MARET!I32+KAS_APRIL!I32+KAS_MEI!I32+KAS_JUNI!I32</f>
        <v>0</v>
      </c>
      <c r="J32" s="15">
        <f>KAS_SEPTEMBER!J32+KAS_OKTOBER!J32+KAS_NOVEMBER!J32+KAS_DESEMBER!J32+KAS_JANUARI!J32+KAS_FEBRUARI!J32+KAS_MARET!J32+KAS_APRIL!J32+KAS_MEI!J32+KAS_JUNI!J32</f>
        <v>210000</v>
      </c>
    </row>
    <row r="33" spans="8:10" x14ac:dyDescent="0.3">
      <c r="H33" s="38" t="str">
        <f>MASTER_ANGGOTA!B33</f>
        <v>Nama Siswa 29</v>
      </c>
      <c r="I33" s="15">
        <f>KAS_SEPTEMBER!I33+KAS_OKTOBER!I33+KAS_NOVEMBER!I33+KAS_DESEMBER!I33+KAS_JANUARI!I33+KAS_FEBRUARI!I33+KAS_MARET!I33+KAS_APRIL!I33+KAS_MEI!I33+KAS_JUNI!I33</f>
        <v>0</v>
      </c>
      <c r="J33" s="15">
        <f>KAS_SEPTEMBER!J33+KAS_OKTOBER!J33+KAS_NOVEMBER!J33+KAS_DESEMBER!J33+KAS_JANUARI!J33+KAS_FEBRUARI!J33+KAS_MARET!J33+KAS_APRIL!J33+KAS_MEI!J33+KAS_JUNI!J33</f>
        <v>210000</v>
      </c>
    </row>
    <row r="34" spans="8:10" x14ac:dyDescent="0.3">
      <c r="H34" s="38" t="str">
        <f>MASTER_ANGGOTA!B34</f>
        <v>Nama Siswa 30</v>
      </c>
      <c r="I34" s="15">
        <f>KAS_SEPTEMBER!I34+KAS_OKTOBER!I34+KAS_NOVEMBER!I34+KAS_DESEMBER!I34+KAS_JANUARI!I34+KAS_FEBRUARI!I34+KAS_MARET!I34+KAS_APRIL!I34+KAS_MEI!I34+KAS_JUNI!I34</f>
        <v>0</v>
      </c>
      <c r="J34" s="15">
        <f>KAS_SEPTEMBER!J34+KAS_OKTOBER!J34+KAS_NOVEMBER!J34+KAS_DESEMBER!J34+KAS_JANUARI!J34+KAS_FEBRUARI!J34+KAS_MARET!J34+KAS_APRIL!J34+KAS_MEI!J34+KAS_JUNI!J34</f>
        <v>210000</v>
      </c>
    </row>
    <row r="35" spans="8:10" x14ac:dyDescent="0.3">
      <c r="H35" s="38" t="str">
        <f>MASTER_ANGGOTA!B35</f>
        <v>Nama Siswa 31</v>
      </c>
      <c r="I35" s="15">
        <f>KAS_SEPTEMBER!I35+KAS_OKTOBER!I35+KAS_NOVEMBER!I35+KAS_DESEMBER!I35+KAS_JANUARI!I35+KAS_FEBRUARI!I35+KAS_MARET!I35+KAS_APRIL!I35+KAS_MEI!I35+KAS_JUNI!I35</f>
        <v>0</v>
      </c>
      <c r="J35" s="15">
        <f>KAS_SEPTEMBER!J35+KAS_OKTOBER!J35+KAS_NOVEMBER!J35+KAS_DESEMBER!J35+KAS_JANUARI!J35+KAS_FEBRUARI!J35+KAS_MARET!J35+KAS_APRIL!J35+KAS_MEI!J35+KAS_JUNI!J35</f>
        <v>210000</v>
      </c>
    </row>
    <row r="36" spans="8:10" x14ac:dyDescent="0.3">
      <c r="H36" s="38" t="str">
        <f>MASTER_ANGGOTA!B36</f>
        <v>Nama Siswa 32</v>
      </c>
      <c r="I36" s="15">
        <f>KAS_SEPTEMBER!I36+KAS_OKTOBER!I36+KAS_NOVEMBER!I36+KAS_DESEMBER!I36+KAS_JANUARI!I36+KAS_FEBRUARI!I36+KAS_MARET!I36+KAS_APRIL!I36+KAS_MEI!I36+KAS_JUNI!I36</f>
        <v>0</v>
      </c>
      <c r="J36" s="15">
        <f>KAS_SEPTEMBER!J36+KAS_OKTOBER!J36+KAS_NOVEMBER!J36+KAS_DESEMBER!J36+KAS_JANUARI!J36+KAS_FEBRUARI!J36+KAS_MARET!J36+KAS_APRIL!J36+KAS_MEI!J36+KAS_JUNI!J36</f>
        <v>210000</v>
      </c>
    </row>
    <row r="37" spans="8:10" x14ac:dyDescent="0.3">
      <c r="H37" s="38" t="str">
        <f>MASTER_ANGGOTA!B37</f>
        <v>Nama Siswa 33</v>
      </c>
      <c r="I37" s="15">
        <f>KAS_SEPTEMBER!I37+KAS_OKTOBER!I37+KAS_NOVEMBER!I37+KAS_DESEMBER!I37+KAS_JANUARI!I37+KAS_FEBRUARI!I37+KAS_MARET!I37+KAS_APRIL!I37+KAS_MEI!I37+KAS_JUNI!I37</f>
        <v>0</v>
      </c>
      <c r="J37" s="15">
        <f>KAS_SEPTEMBER!J37+KAS_OKTOBER!J37+KAS_NOVEMBER!J37+KAS_DESEMBER!J37+KAS_JANUARI!J37+KAS_FEBRUARI!J37+KAS_MARET!J37+KAS_APRIL!J37+KAS_MEI!J37+KAS_JUNI!J37</f>
        <v>210000</v>
      </c>
    </row>
    <row r="38" spans="8:10" x14ac:dyDescent="0.3">
      <c r="H38" s="38" t="str">
        <f>MASTER_ANGGOTA!B38</f>
        <v>Nama Siswa 34</v>
      </c>
      <c r="I38" s="15">
        <f>KAS_SEPTEMBER!I38+KAS_OKTOBER!I38+KAS_NOVEMBER!I38+KAS_DESEMBER!I38+KAS_JANUARI!I38+KAS_FEBRUARI!I38+KAS_MARET!I38+KAS_APRIL!I38+KAS_MEI!I38+KAS_JUNI!I38</f>
        <v>0</v>
      </c>
      <c r="J38" s="15">
        <f>KAS_SEPTEMBER!J38+KAS_OKTOBER!J38+KAS_NOVEMBER!J38+KAS_DESEMBER!J38+KAS_JANUARI!J38+KAS_FEBRUARI!J38+KAS_MARET!J38+KAS_APRIL!J38+KAS_MEI!J38+KAS_JUNI!J38</f>
        <v>210000</v>
      </c>
    </row>
    <row r="39" spans="8:10" x14ac:dyDescent="0.3">
      <c r="H39" s="38" t="str">
        <f>MASTER_ANGGOTA!B39</f>
        <v>Nama Siswa 35</v>
      </c>
      <c r="I39" s="15">
        <f>KAS_SEPTEMBER!I39+KAS_OKTOBER!I39+KAS_NOVEMBER!I39+KAS_DESEMBER!I39+KAS_JANUARI!I39+KAS_FEBRUARI!I39+KAS_MARET!I39+KAS_APRIL!I39+KAS_MEI!I39+KAS_JUNI!I39</f>
        <v>0</v>
      </c>
      <c r="J39" s="15">
        <f>KAS_SEPTEMBER!J39+KAS_OKTOBER!J39+KAS_NOVEMBER!J39+KAS_DESEMBER!J39+KAS_JANUARI!J39+KAS_FEBRUARI!J39+KAS_MARET!J39+KAS_APRIL!J39+KAS_MEI!J39+KAS_JUNI!J39</f>
        <v>210000</v>
      </c>
    </row>
    <row r="40" spans="8:10" x14ac:dyDescent="0.3">
      <c r="H40" s="38" t="str">
        <f>MASTER_ANGGOTA!B40</f>
        <v>Nama Siswa 36</v>
      </c>
      <c r="I40" s="15">
        <f>KAS_SEPTEMBER!I40+KAS_OKTOBER!I40+KAS_NOVEMBER!I40+KAS_DESEMBER!I40+KAS_JANUARI!I40+KAS_FEBRUARI!I40+KAS_MARET!I40+KAS_APRIL!I40+KAS_MEI!I40+KAS_JUNI!I40</f>
        <v>0</v>
      </c>
      <c r="J40" s="15">
        <f>KAS_SEPTEMBER!J40+KAS_OKTOBER!J40+KAS_NOVEMBER!J40+KAS_DESEMBER!J40+KAS_JANUARI!J40+KAS_FEBRUARI!J40+KAS_MARET!J40+KAS_APRIL!J40+KAS_MEI!J40+KAS_JUNI!J40</f>
        <v>210000</v>
      </c>
    </row>
    <row r="41" spans="8:10" x14ac:dyDescent="0.3">
      <c r="H41" s="38" t="str">
        <f>MASTER_ANGGOTA!B41</f>
        <v>Nama Siswa 37</v>
      </c>
      <c r="I41" s="15">
        <f>KAS_SEPTEMBER!I41+KAS_OKTOBER!I41+KAS_NOVEMBER!I41+KAS_DESEMBER!I41+KAS_JANUARI!I41+KAS_FEBRUARI!I41+KAS_MARET!I41+KAS_APRIL!I41+KAS_MEI!I41+KAS_JUNI!I41</f>
        <v>0</v>
      </c>
      <c r="J41" s="15">
        <f>KAS_SEPTEMBER!J41+KAS_OKTOBER!J41+KAS_NOVEMBER!J41+KAS_DESEMBER!J41+KAS_JANUARI!J41+KAS_FEBRUARI!J41+KAS_MARET!J41+KAS_APRIL!J41+KAS_MEI!J41+KAS_JUNI!J41</f>
        <v>210000</v>
      </c>
    </row>
    <row r="42" spans="8:10" x14ac:dyDescent="0.3">
      <c r="H42" s="38" t="str">
        <f>MASTER_ANGGOTA!B42</f>
        <v>Nama Siswa 38</v>
      </c>
      <c r="I42" s="15">
        <f>KAS_SEPTEMBER!I42+KAS_OKTOBER!I42+KAS_NOVEMBER!I42+KAS_DESEMBER!I42+KAS_JANUARI!I42+KAS_FEBRUARI!I42+KAS_MARET!I42+KAS_APRIL!I42+KAS_MEI!I42+KAS_JUNI!I42</f>
        <v>0</v>
      </c>
      <c r="J42" s="15">
        <f>KAS_SEPTEMBER!J42+KAS_OKTOBER!J42+KAS_NOVEMBER!J42+KAS_DESEMBER!J42+KAS_JANUARI!J42+KAS_FEBRUARI!J42+KAS_MARET!J42+KAS_APRIL!J42+KAS_MEI!J42+KAS_JUNI!J42</f>
        <v>210000</v>
      </c>
    </row>
    <row r="43" spans="8:10" x14ac:dyDescent="0.3">
      <c r="H43" s="38" t="str">
        <f>MASTER_ANGGOTA!B43</f>
        <v>Nama Siswa 39</v>
      </c>
      <c r="I43" s="15">
        <f>KAS_SEPTEMBER!I43+KAS_OKTOBER!I43+KAS_NOVEMBER!I43+KAS_DESEMBER!I43+KAS_JANUARI!I43+KAS_FEBRUARI!I43+KAS_MARET!I43+KAS_APRIL!I43+KAS_MEI!I43+KAS_JUNI!I43</f>
        <v>0</v>
      </c>
      <c r="J43" s="15">
        <f>KAS_SEPTEMBER!J43+KAS_OKTOBER!J43+KAS_NOVEMBER!J43+KAS_DESEMBER!J43+KAS_JANUARI!J43+KAS_FEBRUARI!J43+KAS_MARET!J43+KAS_APRIL!J43+KAS_MEI!J43+KAS_JUNI!J43</f>
        <v>210000</v>
      </c>
    </row>
    <row r="44" spans="8:10" x14ac:dyDescent="0.3">
      <c r="H44" s="38" t="str">
        <f>MASTER_ANGGOTA!B44</f>
        <v>Nama Siswa 40</v>
      </c>
      <c r="I44" s="15">
        <f>KAS_SEPTEMBER!I44+KAS_OKTOBER!I44+KAS_NOVEMBER!I44+KAS_DESEMBER!I44+KAS_JANUARI!I44+KAS_FEBRUARI!I44+KAS_MARET!I44+KAS_APRIL!I44+KAS_MEI!I44+KAS_JUNI!I44</f>
        <v>0</v>
      </c>
      <c r="J44" s="15">
        <f>KAS_SEPTEMBER!J44+KAS_OKTOBER!J44+KAS_NOVEMBER!J44+KAS_DESEMBER!J44+KAS_JANUARI!J44+KAS_FEBRUARI!J44+KAS_MARET!J44+KAS_APRIL!J44+KAS_MEI!J44+KAS_JUNI!J44</f>
        <v>210000</v>
      </c>
    </row>
    <row r="45" spans="8:10" x14ac:dyDescent="0.3">
      <c r="H45" s="38" t="str">
        <f>MASTER_ANGGOTA!B45</f>
        <v>Nama Siswa 41</v>
      </c>
      <c r="I45" s="15">
        <f>KAS_SEPTEMBER!I45+KAS_OKTOBER!I45+KAS_NOVEMBER!I45+KAS_DESEMBER!I45+KAS_JANUARI!I45+KAS_FEBRUARI!I45+KAS_MARET!I45+KAS_APRIL!I45+KAS_MEI!I45+KAS_JUNI!I45</f>
        <v>0</v>
      </c>
      <c r="J45" s="15">
        <f>KAS_SEPTEMBER!J45+KAS_OKTOBER!J45+KAS_NOVEMBER!J45+KAS_DESEMBER!J45+KAS_JANUARI!J45+KAS_FEBRUARI!J45+KAS_MARET!J45+KAS_APRIL!J45+KAS_MEI!J45+KAS_JUNI!J45</f>
        <v>210000</v>
      </c>
    </row>
  </sheetData>
  <mergeCells count="36">
    <mergeCell ref="A24:B24"/>
    <mergeCell ref="C24:D24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4:B14"/>
    <mergeCell ref="C14:D14"/>
    <mergeCell ref="A15:B15"/>
    <mergeCell ref="C15:D15"/>
    <mergeCell ref="A17:D17"/>
    <mergeCell ref="A11:B11"/>
    <mergeCell ref="C11:D11"/>
    <mergeCell ref="A12:B12"/>
    <mergeCell ref="C12:D12"/>
    <mergeCell ref="A13:B13"/>
    <mergeCell ref="C13:D13"/>
    <mergeCell ref="A7:B7"/>
    <mergeCell ref="C7:D7"/>
    <mergeCell ref="A8:B8"/>
    <mergeCell ref="C8:D8"/>
    <mergeCell ref="A10:D10"/>
    <mergeCell ref="A1:D1"/>
    <mergeCell ref="A4:D4"/>
    <mergeCell ref="A5:B5"/>
    <mergeCell ref="C5:D5"/>
    <mergeCell ref="A6:B6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20</vt:i4>
      </vt:variant>
      <vt:variant>
        <vt:lpstr>Rentang Bernama</vt:lpstr>
      </vt:variant>
      <vt:variant>
        <vt:i4>6</vt:i4>
      </vt:variant>
    </vt:vector>
  </HeadingPairs>
  <TitlesOfParts>
    <vt:vector size="26" baseType="lpstr">
      <vt:lpstr>DASHBOARD</vt:lpstr>
      <vt:lpstr>PANDUAN</vt:lpstr>
      <vt:lpstr>MASTER_ANGGOTA</vt:lpstr>
      <vt:lpstr>KATEGORI_PENGELUARAN</vt:lpstr>
      <vt:lpstr>PEMBAYARAN</vt:lpstr>
      <vt:lpstr>KAS_SEPTEMBER</vt:lpstr>
      <vt:lpstr>KAS_OKTOBER</vt:lpstr>
      <vt:lpstr>KAS_NOVEMBER</vt:lpstr>
      <vt:lpstr>KAS_DESEMBER</vt:lpstr>
      <vt:lpstr>KAS_JANUARI</vt:lpstr>
      <vt:lpstr>KAS_FEBRUARI</vt:lpstr>
      <vt:lpstr>KAS_MARET</vt:lpstr>
      <vt:lpstr>KAS_APRIL</vt:lpstr>
      <vt:lpstr>KAS_MEI</vt:lpstr>
      <vt:lpstr>KAS_JUNI</vt:lpstr>
      <vt:lpstr>PENGELUARAN</vt:lpstr>
      <vt:lpstr>SALDO</vt:lpstr>
      <vt:lpstr>REKAP_BULANAN</vt:lpstr>
      <vt:lpstr>DAFTAR_TUNGGAKAN</vt:lpstr>
      <vt:lpstr>ANALISIS</vt:lpstr>
      <vt:lpstr>DAFTAR_KATEGORI</vt:lpstr>
      <vt:lpstr>DAFTAR_NAMA</vt:lpstr>
      <vt:lpstr>PENG_BULAN</vt:lpstr>
      <vt:lpstr>PENG_JUMLAH</vt:lpstr>
      <vt:lpstr>PENG_KATEGORI</vt:lpstr>
      <vt:lpstr>SALDO_AKHIR_TAHUN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firas yusuf</cp:lastModifiedBy>
  <cp:revision>1</cp:revision>
  <dcterms:created xsi:type="dcterms:W3CDTF">2026-09-06T08:54:10Z</dcterms:created>
  <dcterms:modified xsi:type="dcterms:W3CDTF">2026-09-08T08:13:42Z</dcterms:modified>
  <dc:language>en-US</dc:language>
</cp:coreProperties>
</file>